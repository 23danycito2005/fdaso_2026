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UNI RIO NEGRO\5. EXP. BAJO PITUCUNA\01. LEV. OBSERVACIONES EXP TECN. BAJO PITOCUNA V3 - 250526\01. EXP. TECN. CC. BAJO PITOCUNA FINAL\10. Cronograma de obra ✔ok\10.03. Cronograma de adquisicion de materiales\"/>
    </mc:Choice>
  </mc:AlternateContent>
  <xr:revisionPtr revIDLastSave="0" documentId="13_ncr:1_{B75E8D96-1801-40B4-BE20-6DB10FD9D8C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CRONOG.ADQ. MAT." sheetId="1" r:id="rId1"/>
  </sheets>
  <definedNames>
    <definedName name="_xlnm.Print_Area" localSheetId="0">'CRONOG.ADQ. MAT.'!$A$1:$P$317</definedName>
    <definedName name="_xlnm.Print_Titles" localSheetId="0">'CRONOG.ADQ. MAT.'!$1:$9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1" i="1" l="1"/>
  <c r="J297" i="1"/>
  <c r="J14" i="1"/>
  <c r="J314" i="1" l="1"/>
  <c r="O302" i="1"/>
  <c r="O303" i="1"/>
  <c r="O304" i="1"/>
  <c r="O305" i="1"/>
  <c r="O306" i="1"/>
  <c r="O307" i="1"/>
  <c r="O308" i="1"/>
  <c r="O309" i="1"/>
  <c r="O310" i="1"/>
  <c r="O301" i="1"/>
  <c r="M302" i="1"/>
  <c r="M303" i="1"/>
  <c r="M304" i="1"/>
  <c r="M305" i="1"/>
  <c r="M306" i="1"/>
  <c r="M307" i="1"/>
  <c r="M308" i="1"/>
  <c r="M309" i="1"/>
  <c r="M310" i="1"/>
  <c r="M301" i="1"/>
  <c r="K302" i="1"/>
  <c r="K303" i="1"/>
  <c r="K304" i="1"/>
  <c r="K305" i="1"/>
  <c r="K306" i="1"/>
  <c r="K307" i="1"/>
  <c r="K308" i="1"/>
  <c r="K309" i="1"/>
  <c r="K310" i="1"/>
  <c r="K301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17" i="1"/>
  <c r="O12" i="1"/>
  <c r="O13" i="1"/>
  <c r="O11" i="1"/>
  <c r="M12" i="1"/>
  <c r="M13" i="1"/>
  <c r="M11" i="1"/>
  <c r="K12" i="1"/>
  <c r="K13" i="1"/>
  <c r="K11" i="1"/>
  <c r="L11" i="1"/>
  <c r="P310" i="1"/>
  <c r="P301" i="1"/>
  <c r="P302" i="1"/>
  <c r="P303" i="1"/>
  <c r="P304" i="1"/>
  <c r="P305" i="1"/>
  <c r="P306" i="1"/>
  <c r="P307" i="1"/>
  <c r="P308" i="1"/>
  <c r="P309" i="1"/>
  <c r="P300" i="1"/>
  <c r="N301" i="1"/>
  <c r="N302" i="1"/>
  <c r="N303" i="1"/>
  <c r="N304" i="1"/>
  <c r="N305" i="1"/>
  <c r="N306" i="1"/>
  <c r="N307" i="1"/>
  <c r="N308" i="1"/>
  <c r="N309" i="1"/>
  <c r="N310" i="1"/>
  <c r="N300" i="1"/>
  <c r="L301" i="1"/>
  <c r="L302" i="1"/>
  <c r="L303" i="1"/>
  <c r="L304" i="1"/>
  <c r="L305" i="1"/>
  <c r="L306" i="1"/>
  <c r="L307" i="1"/>
  <c r="L308" i="1"/>
  <c r="L309" i="1"/>
  <c r="L310" i="1"/>
  <c r="L300" i="1"/>
  <c r="J3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P17" i="1"/>
  <c r="N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17" i="1"/>
  <c r="P12" i="1"/>
  <c r="P13" i="1"/>
  <c r="P11" i="1"/>
  <c r="N12" i="1"/>
  <c r="N13" i="1"/>
  <c r="N11" i="1"/>
  <c r="L12" i="1"/>
  <c r="L13" i="1"/>
  <c r="L297" i="1" l="1"/>
  <c r="L298" i="1" s="1"/>
  <c r="L14" i="1"/>
  <c r="L15" i="1" s="1"/>
  <c r="P311" i="1"/>
  <c r="N297" i="1"/>
  <c r="P14" i="1"/>
  <c r="P297" i="1"/>
  <c r="N311" i="1"/>
  <c r="N14" i="1"/>
  <c r="L311" i="1"/>
  <c r="L312" i="1" s="1"/>
  <c r="N312" i="1" l="1"/>
  <c r="P312" i="1" s="1"/>
  <c r="N314" i="1"/>
  <c r="N316" i="1" s="1"/>
  <c r="N298" i="1"/>
  <c r="P298" i="1" s="1"/>
  <c r="N15" i="1"/>
  <c r="P15" i="1" s="1"/>
  <c r="L314" i="1"/>
  <c r="L316" i="1" s="1"/>
  <c r="L317" i="1" s="1"/>
  <c r="P314" i="1"/>
  <c r="P316" i="1" s="1"/>
  <c r="N317" i="1" l="1"/>
  <c r="P317" i="1" s="1"/>
  <c r="L315" i="1"/>
  <c r="N315" i="1" s="1"/>
  <c r="P315" i="1" s="1"/>
</calcChain>
</file>

<file path=xl/sharedStrings.xml><?xml version="1.0" encoding="utf-8"?>
<sst xmlns="http://schemas.openxmlformats.org/spreadsheetml/2006/main" count="617" uniqueCount="339">
  <si>
    <t>Lugar</t>
  </si>
  <si>
    <t>Código</t>
  </si>
  <si>
    <t>Recurso</t>
  </si>
  <si>
    <t>Unidad</t>
  </si>
  <si>
    <t>Cantidad</t>
  </si>
  <si>
    <t>Precio S/.</t>
  </si>
  <si>
    <t>Parcial S/.</t>
  </si>
  <si>
    <t>MANO DE OBRA</t>
  </si>
  <si>
    <t>OPERARIO</t>
  </si>
  <si>
    <t>hh</t>
  </si>
  <si>
    <t>OFICIAL</t>
  </si>
  <si>
    <t>PEON</t>
  </si>
  <si>
    <t>MATERIALES</t>
  </si>
  <si>
    <t>SUB CONTRATO HUMEDECIMIENTO DE TERRENO</t>
  </si>
  <si>
    <t>GLB</t>
  </si>
  <si>
    <t>TRIPTICOS CON TEMAS AMBIENTALES</t>
  </si>
  <si>
    <t>und</t>
  </si>
  <si>
    <t>MONITOREO DE CALIDAD DE AGUA</t>
  </si>
  <si>
    <t>pto</t>
  </si>
  <si>
    <t>MONITOREO DE CALIDAD DE AIRE</t>
  </si>
  <si>
    <t>MONITOREO DE CALIDAD DE RUIDO</t>
  </si>
  <si>
    <t>MONITOREO DE CALIDAD DE SUELO</t>
  </si>
  <si>
    <t>CLAVOS PARA MADERA C/C 3 "</t>
  </si>
  <si>
    <t>kg</t>
  </si>
  <si>
    <t>ALAMBRE NEGRO N°16</t>
  </si>
  <si>
    <t>ALAMBRE NEGRO N°8</t>
  </si>
  <si>
    <t>PERNO DE ANCLAJE 1/2" x 5 1/2" CON TUERCA Y ARANDELA</t>
  </si>
  <si>
    <t>pza</t>
  </si>
  <si>
    <t>ACERO DE REFUERZO FY=4200 GRADO 60</t>
  </si>
  <si>
    <t>ASFALTO RC-250</t>
  </si>
  <si>
    <t>gln</t>
  </si>
  <si>
    <t>ARENA FINA(puesto en obra)</t>
  </si>
  <si>
    <t>m3</t>
  </si>
  <si>
    <t>PIEDRA CHANCADA DE 1/2"(puesto en obra)</t>
  </si>
  <si>
    <t>PIEDRA MEDIANA DE 4"(puesto en obra)</t>
  </si>
  <si>
    <t>PIEDRA GRANDE DE 6"(puesto en obra)</t>
  </si>
  <si>
    <t>ARENA GRUESA(puesto en obra)</t>
  </si>
  <si>
    <t>CONDUCTOR ELECTRICO THW 1 x 2.5 MM2</t>
  </si>
  <si>
    <t>m</t>
  </si>
  <si>
    <t>VALVULA COMPUERTA BRONCE Ø =1"</t>
  </si>
  <si>
    <t>VALVULA COMPUERTA BRONCE Ø =1/2"</t>
  </si>
  <si>
    <t>VALVULA COMPUERTA BRONCE Ø =2"</t>
  </si>
  <si>
    <t>VALVULA COMPUERTA BRONCE Ø =3/4"</t>
  </si>
  <si>
    <t>VALVULA TIPO BOLA Ø =2"</t>
  </si>
  <si>
    <t>LAVATORIO TIPO FONTANA DE LOSA VITRIFICADA COLOR BLANCO, INC. ACCESORIOS</t>
  </si>
  <si>
    <t>VALVULA DE AIRE Ø = 1/2" - AUTOMATICA</t>
  </si>
  <si>
    <t>CAJA RECTANG GALV  4"X2 1/8"</t>
  </si>
  <si>
    <t>CAJA PARA VALVULA DE POLICARBONATO 0.25 x 0.25 x 0.10 m</t>
  </si>
  <si>
    <t>INTERRUPTOR SIMPLE 10A 250V</t>
  </si>
  <si>
    <t xml:space="preserve">SOCKETS CIRCULAR DE 4 PULGADAS_x000D_
</t>
  </si>
  <si>
    <t>LADRILLO KING KONG 18 HUECOS INDUSTRIAL,9x12.5x23 09 cm</t>
  </si>
  <si>
    <t>LADRILLO KING KONG 18 HUECOS INDUSTRIAL,9x12.5x24 cm</t>
  </si>
  <si>
    <t>LADRILLO ARTESANAL 9x12.5x24 cm</t>
  </si>
  <si>
    <t>CEMENTO PORTLAND TIPO I (42.5KG)</t>
  </si>
  <si>
    <t>BOL</t>
  </si>
  <si>
    <t>SERVICIO DE ALQUILER DE BAÑO</t>
  </si>
  <si>
    <t>mes</t>
  </si>
  <si>
    <t>SEÑALIZACION AMBIENTAL</t>
  </si>
  <si>
    <t>BISAGRA ALUMINIZADA CAPUCHINA 3"x3"</t>
  </si>
  <si>
    <t>BISAGRA DE 3" X 3"</t>
  </si>
  <si>
    <t>CERROJO DE 2"</t>
  </si>
  <si>
    <t>CANDADO DE 40 MM</t>
  </si>
  <si>
    <t>CERROJO ZINCADO NEGRO 6"</t>
  </si>
  <si>
    <t>GIGANTOGRAFIA DE  3.60m x2.40m</t>
  </si>
  <si>
    <t>GEOMEMBRANA HDPE E=1"</t>
  </si>
  <si>
    <t>m2</t>
  </si>
  <si>
    <t>YESO EN BOLSAS DE 18 KG.</t>
  </si>
  <si>
    <t>WATER STOP PVC DE 6"</t>
  </si>
  <si>
    <t>OCRE ROJO</t>
  </si>
  <si>
    <t>JUNTA EPOXICA 200</t>
  </si>
  <si>
    <t>TANQUE DE POLIETILENO PARA AGUA 250 LT</t>
  </si>
  <si>
    <t>SOLDADURA CELLOCORD P 3/16"</t>
  </si>
  <si>
    <t>CINTA AISLANTE ELECTRICA</t>
  </si>
  <si>
    <t>BIODIGESTOR 700 L (INCLUYE ACCESORIOS)</t>
  </si>
  <si>
    <t>BRIDA ROMPE AGUA DE AGUA DE Ø 2"</t>
  </si>
  <si>
    <t>INODORO TANQUE BAJO BLANCO INC. ACCESORIOS</t>
  </si>
  <si>
    <t>INODORO TANQUE BAJO BABY BLANCO INC. ACCESORIOS</t>
  </si>
  <si>
    <t>BIODIGESTOR 1300 L (INCLUYE ACCESORIOS)</t>
  </si>
  <si>
    <t>CINTA MASKINGTAPE SUPER 3/4" X 30 YDS</t>
  </si>
  <si>
    <t>FOCO LED DE 15 W</t>
  </si>
  <si>
    <t>IMPRIMANTE</t>
  </si>
  <si>
    <t>IMPRIMANTE ELASTOMERICO</t>
  </si>
  <si>
    <t>SELLADOR ELASTOMERICO</t>
  </si>
  <si>
    <t>HIPOCLORITO DE CALCIO AL 70%</t>
  </si>
  <si>
    <t>BALDE DE PLASTICO DE 30 LTS.</t>
  </si>
  <si>
    <t>THINER</t>
  </si>
  <si>
    <t>BARNIZ</t>
  </si>
  <si>
    <t>FLETE TERRESTRE SISTEMA DE AGUA POTABLE</t>
  </si>
  <si>
    <t>FLETE RURAL SISTEMA DE AGUA POTABLE</t>
  </si>
  <si>
    <t>FLETE TERRESTRE SISTEMA DE SANEAMIENTO</t>
  </si>
  <si>
    <t>MOVILIZACIÓN Y DESMOVILIZACIÓN DE EQUIPOS Y HERRAMIENTAS PARA LA OBRA</t>
  </si>
  <si>
    <t>GRAVA 1/2"(puesto en obra)</t>
  </si>
  <si>
    <t>HORMIGON(puesto en obra)</t>
  </si>
  <si>
    <t>GRAVA 2"(puesto en obra)</t>
  </si>
  <si>
    <t>GRAVA DE 1"(puesto en obra)</t>
  </si>
  <si>
    <t>LIJA</t>
  </si>
  <si>
    <t>AGUA</t>
  </si>
  <si>
    <t>LAPICEROS</t>
  </si>
  <si>
    <t>GRAPAS</t>
  </si>
  <si>
    <t>TAPA METALICA DE PLANCHA ESTRIADA E=1/8" 0.50X0.40M + PINTURA</t>
  </si>
  <si>
    <t>PAPEL BOND A4 80 GRAMOS</t>
  </si>
  <si>
    <t>mll</t>
  </si>
  <si>
    <t>CAMILLA RIGIDA</t>
  </si>
  <si>
    <t>DISOLVENTE PARA PINTURA EPOXICO</t>
  </si>
  <si>
    <t>PINTURA EPOXICA TIPO B</t>
  </si>
  <si>
    <t>BASE EPOXICO</t>
  </si>
  <si>
    <t>TONER PARA IMPRESORA LASER</t>
  </si>
  <si>
    <t>PLUMONES GRUESO N° 47</t>
  </si>
  <si>
    <t>PARANTES DE MADERA MONTAÑA</t>
  </si>
  <si>
    <t>MALLA CERCADORA NARANJA</t>
  </si>
  <si>
    <t>rll</t>
  </si>
  <si>
    <t>CINTA PLASTICA DE SEÑAL DE SEGURIDAD</t>
  </si>
  <si>
    <t>CINTA NORMALIZADORA DE SEÑALIZACION 70 MM</t>
  </si>
  <si>
    <t>CACHACO DE CONCRETO H=1.20 M</t>
  </si>
  <si>
    <t>PAPELOGRAFO</t>
  </si>
  <si>
    <t>TONER PARA FOTOCOPIADORA</t>
  </si>
  <si>
    <t>ESTACA DE MADERA H=0.60M</t>
  </si>
  <si>
    <t>ESCALERA INTERIOR / PELDAÑOS DE POLIPROPILENO DE 12MM S/DISEÑO (inlcuye pintado)</t>
  </si>
  <si>
    <t>IMPRESOS</t>
  </si>
  <si>
    <t>MADERA NACIONAL P/ENCOFRADO Y CARP</t>
  </si>
  <si>
    <t>p2</t>
  </si>
  <si>
    <t>MADERA EUCALIPTO ROLLIZO 4'x4m</t>
  </si>
  <si>
    <t>MADERA TORNILLO 2'x2'x12'</t>
  </si>
  <si>
    <t>GUANTES DE CUERO</t>
  </si>
  <si>
    <t>PAR</t>
  </si>
  <si>
    <t>RESPIRADOR DE PLASTICO SIMPLE</t>
  </si>
  <si>
    <t>CASCO DE PROTECCION</t>
  </si>
  <si>
    <t>ZAPATOS CON PUNTA DE ACERO</t>
  </si>
  <si>
    <t>LENTES DE POLICARBONA LUNA CLARA</t>
  </si>
  <si>
    <t>BOTAS DE CAUCHO</t>
  </si>
  <si>
    <t>REGLA DE ALUMINIO 2"X3"</t>
  </si>
  <si>
    <t>MANGUERA HDPE NORMA NTP - ISO 4427 PN=10" ø=44.4 MM</t>
  </si>
  <si>
    <t>PUERTA METALICA 0.80 x 2.15 m S/DISEÑO</t>
  </si>
  <si>
    <t>TRIPLAY DE 4'x8'x 6 mm</t>
  </si>
  <si>
    <t>pln</t>
  </si>
  <si>
    <t>MALLA DE ALAMB.GALV.# 12,COC. 2" X 2"</t>
  </si>
  <si>
    <t>ALDABA DE FIERRO GRANDE</t>
  </si>
  <si>
    <t>jgo</t>
  </si>
  <si>
    <t>ANGULO DE 2X2cm CON PERNOS DE 1/4"x4"
1/2"x 1/8"</t>
  </si>
  <si>
    <t>TUBO NEGRO DE 3''e=2.50mm</t>
  </si>
  <si>
    <t>PERFIL EN L 1 1/2"X1 1/2"X3/16"</t>
  </si>
  <si>
    <t>TUBO RECTANGULAR METALICO 2"x3"x10´ E=2.5MM</t>
  </si>
  <si>
    <t>TUBO CUADRADO METALICO 2"x2"x10´ E=2.5MM</t>
  </si>
  <si>
    <t>PERFIL EN L 1 1/2"X1 1/2"X1/8"</t>
  </si>
  <si>
    <t>TUBO CUADRADO METALICO DE 1"X1"X2.5MM</t>
  </si>
  <si>
    <t>TUBO PVC - P ( ELECT. ) 20mm 3M</t>
  </si>
  <si>
    <t>CURVA PVC - P ( ELECT. ) 20mm</t>
  </si>
  <si>
    <t>UNION PVC - P ( ELECT. ) 20mm</t>
  </si>
  <si>
    <t>PINTURA LATEX</t>
  </si>
  <si>
    <t>PINTURA ESMALTE</t>
  </si>
  <si>
    <t>SELLADOR</t>
  </si>
  <si>
    <t>PINTURA IMPRIMANTE</t>
  </si>
  <si>
    <t>PINTURA ANTICORROSIVA</t>
  </si>
  <si>
    <t>PISON MANUAL 25KG</t>
  </si>
  <si>
    <t>ZARANDA MANUAL DE 1.20m x 2.00m, MALLA 3/4"</t>
  </si>
  <si>
    <t xml:space="preserve">TIRAFON CON CAPUCHON 1/4x4.5" _x000D_
</t>
  </si>
  <si>
    <t>CALAMINA ALUZINC TR4 - 0.40MM, 3.60MX1.10M</t>
  </si>
  <si>
    <t>PLATINA DE ACERO DE 1/4" x 3" x 6.m</t>
  </si>
  <si>
    <t>PLANCHA DE ACERO 1/4" DE 15CMX15CM</t>
  </si>
  <si>
    <t>PLANTA DE LA ZONA</t>
  </si>
  <si>
    <t>TEKNOPORT E=1" DE 1.20x2.4</t>
  </si>
  <si>
    <t>SELLADORA DE POLIURETANO</t>
  </si>
  <si>
    <t>SELLADOR CON RODON 1 1/4"</t>
  </si>
  <si>
    <t>TUBERIA F°G° Ø = 3/4" x 6.40m</t>
  </si>
  <si>
    <t xml:space="preserve">TUBERIA F°G° Ø = 2" x 6.40m, E=1.5mm_x000D_
</t>
  </si>
  <si>
    <t>VALVULA COMPUERTA BRONCE DE Ø 1 1/2"</t>
  </si>
  <si>
    <t>TUBERIA DE F°G° 1 1/2"</t>
  </si>
  <si>
    <t>TUBERIA PRESION PVC 5 MT NTP 399.002 C-10 Ø = 1"</t>
  </si>
  <si>
    <t>TUBERIA DE HIERRO DUCTIL(HD) DE 2"</t>
  </si>
  <si>
    <t xml:space="preserve">VENTANA METALICA V-1 (0.50x0.80m) CON VIDRIO 6MM S/DISEÑO
</t>
  </si>
  <si>
    <t>CABLE 2.5 MM2 THW</t>
  </si>
  <si>
    <t>TUERCA  DE 1/2" ROSCADA</t>
  </si>
  <si>
    <t xml:space="preserve">CANASTILLA PVC  Ø = 3"_x000D_
</t>
  </si>
  <si>
    <t>ADAPTADOR UPR PVC Ø = 1"</t>
  </si>
  <si>
    <t>ADAPTADOR UPR PVC Ø = 2"</t>
  </si>
  <si>
    <t>UNION UNIVERSAL PVC Ø = 1/2"</t>
  </si>
  <si>
    <t>UNION UNIVERSAL PVC Ø = 3/4"</t>
  </si>
  <si>
    <t>UNION UNIVERSAL PVC Ø = 1"</t>
  </si>
  <si>
    <t>UNION UNIVERSAL PVC Ø = 1 1/2"</t>
  </si>
  <si>
    <t>UNION UNIVERSAL PVC Ø = 2"</t>
  </si>
  <si>
    <t>NIPLE PVC L=2" Ø = 3/4"</t>
  </si>
  <si>
    <t>NIPLE PVC L=2" Ø = 1"</t>
  </si>
  <si>
    <t>NIPLE PVC L=2" Ø = 1 1/2"</t>
  </si>
  <si>
    <t>NIPLE PVC L=2" Ø = 2"</t>
  </si>
  <si>
    <t>CODO PVC SP x 45° Ø = 1/2"</t>
  </si>
  <si>
    <t>CODO PVC SP x 45° Ø = 3/4"</t>
  </si>
  <si>
    <t>CODO PVC SP x 45° Ø = 1"</t>
  </si>
  <si>
    <t>CODO PVC SP x 45° Ø = 1 1/2"</t>
  </si>
  <si>
    <t xml:space="preserve">CODO PVC SP x 45° Ø = 2"_x000D_
</t>
  </si>
  <si>
    <t>CODO PVC SP x 90° Ø = 1/2"</t>
  </si>
  <si>
    <t xml:space="preserve">CODO PVC SP x 90° Ø = 3/4"_x000D_
</t>
  </si>
  <si>
    <t xml:space="preserve">CODO PVC SP x 90° Ø = 1"_x000D_
</t>
  </si>
  <si>
    <t>CODO PVC SP x 90° Ø = 1 1/2"</t>
  </si>
  <si>
    <t>CODO PVC SP x 90° Ø = 2"</t>
  </si>
  <si>
    <t>TEE PVC SP Ø = 1/2"</t>
  </si>
  <si>
    <t>TEE PVC SP Ø = 1 1/2"</t>
  </si>
  <si>
    <t>TEE PVC SP Ø = 2"</t>
  </si>
  <si>
    <t>CODO F°G° x 90° Ø = 1/2"</t>
  </si>
  <si>
    <t>REDUCCION PVC SP 1" x 3/4"</t>
  </si>
  <si>
    <t>REDUCCION PVC SP 1 1/2" x 1"</t>
  </si>
  <si>
    <t>CONO DE REBOSE PVC 4" x 2"</t>
  </si>
  <si>
    <t>PEGAMENTO PVC</t>
  </si>
  <si>
    <t>TAPON MACHO PVC SP Ø = 2"</t>
  </si>
  <si>
    <t>CINTA TEFLON</t>
  </si>
  <si>
    <t>VALVULA CONTROL DE BRONCE Ø = 1/2"</t>
  </si>
  <si>
    <t xml:space="preserve">GRIFO DE BRONCE Ø = 1/2"_x000D_
</t>
  </si>
  <si>
    <t>ADAPTADOR UPR PVC Ø = 1/2"</t>
  </si>
  <si>
    <t>VALVULA DE PASO PVC Ø = 1/2"</t>
  </si>
  <si>
    <t>MARCO Y TAPA TERMOPLASTICA  DE 1/2" - 3/4"  + LLAVE P/CERRADURA MAGNETICA</t>
  </si>
  <si>
    <t>CAJA PREFABRICADA  DE 0.30 x 0.40m DE CONCRETO f´c=140 Kg/cm2</t>
  </si>
  <si>
    <t>NIPLE PVC L=1 1/2" Ø = 1/2"</t>
  </si>
  <si>
    <t>VALVULA FLOTADORA CON BOYA  PVC Ø = 1/2"</t>
  </si>
  <si>
    <t>CAJA PREFABRICADA  DE 0.30 x 0.25m DE CONCRETO f´c=140 Kg/cm2</t>
  </si>
  <si>
    <t>VALVULA ESFERICA DE PVC Ø = 1/2"</t>
  </si>
  <si>
    <t>VALVULA DEVIADORA DE PURIFICADOR Ø = 1/2"</t>
  </si>
  <si>
    <t>TAPON MACHO PVC SP Ø = 1"</t>
  </si>
  <si>
    <t>TEE PVC SP Ø = 1"</t>
  </si>
  <si>
    <t>NIPLE PVC L=8" Ø = 1"</t>
  </si>
  <si>
    <t>NIPLE PVC L=22" Ø = 1"</t>
  </si>
  <si>
    <t>NIPLE PVC L=7" Ø = 1"</t>
  </si>
  <si>
    <t>ABRAZADERA 2 CUERPOS TERMOPLASTICA PVC CON SALIDA 1/2"</t>
  </si>
  <si>
    <t>REGISTRO DE BRONCE Ø = 4"</t>
  </si>
  <si>
    <t xml:space="preserve">TAPON MACHO PVC SP Ø = 3/4"_x000D_
</t>
  </si>
  <si>
    <t>TAPON PVC SAL 2"</t>
  </si>
  <si>
    <t>ADAPTADOR URP PVC Ø = 1/2"</t>
  </si>
  <si>
    <t>NIPLE PVC L=8" Ø = 3/4"</t>
  </si>
  <si>
    <t>NIPLE PVC L=7" Ø = 3/4"</t>
  </si>
  <si>
    <t>NIPLE PVC L=8" Ø = 1 1/2"</t>
  </si>
  <si>
    <t>NIPLE PVC L=7" Ø = 1 1/2"</t>
  </si>
  <si>
    <t>NIPLE PVC L=1" Ø = 2"</t>
  </si>
  <si>
    <t>TEE PVC SP Ø = 3/4"</t>
  </si>
  <si>
    <t>DUCHA CROMADA INC. LLAVE Y ACCESORIOS BLANCO,INC.ACCESORIOS</t>
  </si>
  <si>
    <t>SC DESMONTAJE DE OFICINA</t>
  </si>
  <si>
    <t>SC DESMONTAJE DE ALMACENES</t>
  </si>
  <si>
    <t>SC DESMONTAJE DE CASETA DE GUARDIANIA</t>
  </si>
  <si>
    <t>SC DESMONTAJE DE CERCOS PERIMETRICOS</t>
  </si>
  <si>
    <t>SC DESMONTAJE DE CARTELES</t>
  </si>
  <si>
    <t>SC ALMACENAMIENTO, RECOLECCION, TRANSPORTE Y DISPOSICION FINAL</t>
  </si>
  <si>
    <t>SC REPOSICION DE PATIOS DE MANIOBRA</t>
  </si>
  <si>
    <t>ADAPTADOR UPR PVC Ø = 1 1/2"</t>
  </si>
  <si>
    <t>ADAPTADOR UPR PVC Ø = 3/4"</t>
  </si>
  <si>
    <t>REGISTRO ROSCADO DE BRONCE Ø = 2"</t>
  </si>
  <si>
    <t>TAPON MACHO F°G° Ø = 1 1/2"</t>
  </si>
  <si>
    <t>NIPLE PVC L=22" Ø = 1 1/2"</t>
  </si>
  <si>
    <t>CODO F°G° x 90° Ø = 1 1/2"</t>
  </si>
  <si>
    <t>ADITIVO IMPERMEABILIZANTE</t>
  </si>
  <si>
    <t>CODO PVC SAL x 90° Ø = 4"</t>
  </si>
  <si>
    <t>UNION ENLACE P/MANG. HDPE, PN-8 ø=43.4 MM</t>
  </si>
  <si>
    <t>CODO F°G° x 90° Ø = 2"(incluido malla)</t>
  </si>
  <si>
    <t>REDUCCION PVC SP 1/2" x 3/8"</t>
  </si>
  <si>
    <t>VALVULA FLOTADORA PVC 3/8"</t>
  </si>
  <si>
    <t>TAPA METALICA DE PLANCHA ESTRIADA E=1/8" 0.60X0.60M + PINTURA(incl. accesorios)</t>
  </si>
  <si>
    <t>NIPLE PVC L=1" Ø = 1/2"</t>
  </si>
  <si>
    <t>REDUCCION PVC SP 1/2" x 1"</t>
  </si>
  <si>
    <t>REDUCCION PVC SP Ø =11/2"x  Ø = 1/2"</t>
  </si>
  <si>
    <t>TAPON MACHO PVC SP Ø = 1 1/2"</t>
  </si>
  <si>
    <t>REDUCCION PVC SP 3/4" x 1/2"</t>
  </si>
  <si>
    <t>REDUCCION PVC SP 1" x 1/2"</t>
  </si>
  <si>
    <t>CODO PVC C/ROSCAx 90° Ø = 1/2"</t>
  </si>
  <si>
    <t>NIPLE PVC C/ROSCA, L=2" Ø = 1/2"</t>
  </si>
  <si>
    <t>UNION UNIVERSAL BRONCE Ø = 1/2"</t>
  </si>
  <si>
    <t>LLAVE DE ALTA RESISTENCIA BRONCE CROMADO 1/2", 250 lbs.</t>
  </si>
  <si>
    <t>UNION PRESIÓN ROSCA (ROSCA HEMBRA) PVC 2"</t>
  </si>
  <si>
    <t>REDUCCION PVC SP 2" x 1 1/2"</t>
  </si>
  <si>
    <t>ADAPTADOR UNIVERSAL HDPE DE 1 1/2"</t>
  </si>
  <si>
    <t>CONO DE REBOSE PVC 3"</t>
  </si>
  <si>
    <t xml:space="preserve">TEE PVC SAL 2"_x000D_
</t>
  </si>
  <si>
    <t>UNION ENLACE P/MANG. HDPE, PN-10" ø=44.4 MM</t>
  </si>
  <si>
    <t>REDUCCION PVC SP 1 1/2" x 3/4"</t>
  </si>
  <si>
    <t>REDUCCION PVC CLASE LIVIANA 4" x 2"</t>
  </si>
  <si>
    <t>TAPON MACHO PVC SP Ø = 1/2"</t>
  </si>
  <si>
    <t>CAJA PREFABRICADA  DE 0.40 x 0.70m DE CONCRETO</t>
  </si>
  <si>
    <t>CAJA PREFABRICADO 0.50x0.80M DE CONCRETO</t>
  </si>
  <si>
    <t>CAJA PREFABRICADO 0.60x0.60M DE CONCRETO</t>
  </si>
  <si>
    <t>REDUCCION PVC SP 3/8" x 1/2"</t>
  </si>
  <si>
    <t>NIPLE PVC  C-10  L=2", Ø 1 1/2"</t>
  </si>
  <si>
    <t>CODO F°G° x 45° Ø = 1 1/2"</t>
  </si>
  <si>
    <t>CONTENEDOR</t>
  </si>
  <si>
    <t>SUMIDERO DE BRONCE Ø = 2"</t>
  </si>
  <si>
    <t xml:space="preserve">TEE SANITARIA PVC SAL Ø = 2"_x000D_
</t>
  </si>
  <si>
    <t xml:space="preserve">TUBERIA PVC 3M SAL Ø = 4"_x000D_
</t>
  </si>
  <si>
    <t xml:space="preserve">TUBERIA PVC 3M SAL Ø = 2"_x000D_
</t>
  </si>
  <si>
    <t>SOMBRERO DE VENTILACION PVC SAL Ø = 2"</t>
  </si>
  <si>
    <t>PERNOS DE 1/2 x 2"</t>
  </si>
  <si>
    <t>ABRAZADERA PARA TUBO 2 OREJAS DE 2"</t>
  </si>
  <si>
    <t>TUBERIA PVC SAP P/INST. ELECTR. DE Ø 3/4"</t>
  </si>
  <si>
    <t xml:space="preserve">TEE PVC UR Ø = 1"_x000D_
</t>
  </si>
  <si>
    <t>Tubería PVC NTP 399.002 SP C-10 Ø = 1"</t>
  </si>
  <si>
    <t>Tubería PVC NTP 399.002 SP C-10 Ø = 2"</t>
  </si>
  <si>
    <t>Tubería PVC NTP 399.002 SP C-10 Ø = 1/2"</t>
  </si>
  <si>
    <t>Tubería PVC NTP 399.003 CLASE LIVIANA  Ø = 2"</t>
  </si>
  <si>
    <t>Codo PVC CLASE LIVIANA x 90° Ø = 2"</t>
  </si>
  <si>
    <t>TRAMPA PVC CLASE LIVIANA Ø = 2"</t>
  </si>
  <si>
    <t>TUBERIA PRESION PVC 5 MT NTP 399.002 C-10 Ø = 3/4"</t>
  </si>
  <si>
    <t>Codo PVC CLASE LIVIANA x 45° Ø = 2"</t>
  </si>
  <si>
    <t xml:space="preserve">YEE PVC CLASE LIVIANA Ø = 2"_x000D_
</t>
  </si>
  <si>
    <t>Tubería PVC NTP 399.002 SP C-10 Ø = 3/4"</t>
  </si>
  <si>
    <t>Tubería PVC NTP 399.002 SP C-10 Ø = 1 1/2"</t>
  </si>
  <si>
    <t>TUBERÍA PVC SAP CL-10 Ø 1 1/2"</t>
  </si>
  <si>
    <t>NIPLE F°G°, L=0.2m, Ø = 2", ROSCA A UN LADO</t>
  </si>
  <si>
    <t>TAPÓN PERFORADO PVC SAL 2"</t>
  </si>
  <si>
    <t xml:space="preserve">YEE PVC CLASE LIVIANA Ø = 4"_x000D_
</t>
  </si>
  <si>
    <t>CAJA ADOSABLE PARA INTERRUPTOR TERMOMAGNETICO</t>
  </si>
  <si>
    <t>ABRAZADERA Fº Gº PLANCHA e=1/8 MOLDEADA EN OBRA</t>
  </si>
  <si>
    <t>PERNO DE 2"</t>
  </si>
  <si>
    <t>TUBERIA SP PRESION PVC 5 MT C-10 Ø = 1/2"</t>
  </si>
  <si>
    <t>TUBERIA SP PRESION PVC 5 MT NTP 399.002 C-10 Ø = 1/2"</t>
  </si>
  <si>
    <t>TUBERIA SP PRESION PVC 5 MT NTP 399.002 C-10 Ø = 3/8"</t>
  </si>
  <si>
    <t>CAJA OCTOGONAL DE PVC  PESADA 100 x 100 x 50 MM</t>
  </si>
  <si>
    <t>CURVA A 90° PVC SAP 3/4"</t>
  </si>
  <si>
    <t>EQUIPOS</t>
  </si>
  <si>
    <t>HERRAMIENTAS MANUALES</t>
  </si>
  <si>
    <t>%MO</t>
  </si>
  <si>
    <t>MEZCLADORA DE CONCRETO DE  9 -11P3</t>
  </si>
  <si>
    <t>hm</t>
  </si>
  <si>
    <t>COMPACTADORA VIBRADORA TIPO SALTARIN 6HP</t>
  </si>
  <si>
    <t>GENERADOR ELECTRICO 5 500W</t>
  </si>
  <si>
    <t>SOLDADORA ELECT. MONOF. ALTERNA 225 AMP.</t>
  </si>
  <si>
    <t>ESTACION TOTAL INCL. ACCESORIOS</t>
  </si>
  <si>
    <t>RETROEXCAVADORA S/LLANTAS 80HP-110 HP, 0.5-1.3 y3</t>
  </si>
  <si>
    <t>CIZALLA P/ CORTE DE FIERRO</t>
  </si>
  <si>
    <t>ANDAMIO METALICO 2 CUERPOS</t>
  </si>
  <si>
    <t>BALDE DE PRUEBA HIDRAULICA, TAPÓN, ABRAZADERA Y ACCESORIOS</t>
  </si>
  <si>
    <t>VIBRADOR DE CONCRETO 4 HP 1.35"</t>
  </si>
  <si>
    <t>TOTAL</t>
  </si>
  <si>
    <t>MESES</t>
  </si>
  <si>
    <t>MES 1</t>
  </si>
  <si>
    <t>MES 2</t>
  </si>
  <si>
    <t>MES 3</t>
  </si>
  <si>
    <t>AVANACE PROGRAMADO ACUMULADO</t>
  </si>
  <si>
    <t>PRESUPUESTO PROGRAMADO ACUMULADO</t>
  </si>
  <si>
    <t>MUNICIPALIDAD DISTRITAL DE RIO NEGRO</t>
  </si>
  <si>
    <t>CRONOGRAMA DE ADQUICION DE MATERIALES</t>
  </si>
  <si>
    <t>CLIENTE</t>
  </si>
  <si>
    <t>CANTIDAD</t>
  </si>
  <si>
    <t>PPTO S/.</t>
  </si>
  <si>
    <t>Obra:</t>
  </si>
  <si>
    <t>CREACION DEL SERVICIO DE AGUA POTABLE RURAL Y CREACION DEL SERVICIO DE ALCANTARILLADO U OTRAS FORMAS DE DISPOSICION SANITARIA DE EXCRETAS EN EL SECTOR NUEVA ESPERANZA DE LA CC.NN. BAJO PITOCUNA DISTRITO DE RIO NEGRO, PROVINCIA DE SATIPO JUNIN</t>
  </si>
  <si>
    <t>SECTOR NUEVA ESPERANZA DE LA CC.NN. BAJO PITOCUNA DISTRITO DE RIO NEGRO-SATIPO-JUNIN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</si>
</sst>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2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b/>
      <sz val="7.15"/>
      <color indexed="8"/>
      <name val="Arial"/>
      <family val="2"/>
    </font>
    <font>
      <b/>
      <sz val="8"/>
      <color indexed="8"/>
      <name val="Arial"/>
      <family val="2"/>
    </font>
    <font>
      <sz val="7"/>
      <color indexed="8"/>
      <name val="Arial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"/>
      <family val="2"/>
    </font>
    <font>
      <b/>
      <sz val="9"/>
      <color indexed="8"/>
      <name val="Arial Narrow"/>
      <family val="2"/>
    </font>
    <font>
      <b/>
      <sz val="18"/>
      <color indexed="8"/>
      <name val="Arial Narrow"/>
      <family val="2"/>
    </font>
    <font>
      <b/>
      <sz val="11"/>
      <color indexed="8"/>
      <name val="Arial Narrow"/>
      <family val="2"/>
    </font>
    <font>
      <b/>
      <sz val="9"/>
      <color indexed="8"/>
      <name val="Arial"/>
      <family val="2"/>
    </font>
    <font>
      <b/>
      <sz val="12"/>
      <color indexed="8"/>
      <name val="Arial"/>
      <family val="2"/>
    </font>
    <font>
      <b/>
      <sz val="7.15"/>
      <color indexed="8"/>
      <name val="Arial"/>
      <family val="2"/>
    </font>
    <font>
      <b/>
      <sz val="10"/>
      <color indexed="8"/>
      <name val="Arial"/>
      <family val="2"/>
    </font>
    <font>
      <b/>
      <sz val="7"/>
      <color indexed="8"/>
      <name val="Arial"/>
      <family val="2"/>
    </font>
    <font>
      <sz val="8"/>
      <name val="Arial"/>
      <family val="2"/>
    </font>
    <font>
      <sz val="8"/>
      <name val="Arial Narrow"/>
      <family val="2"/>
    </font>
    <font>
      <b/>
      <sz val="8"/>
      <name val="Arial Narrow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>
      <alignment vertical="top"/>
    </xf>
    <xf numFmtId="9" fontId="1" fillId="0" borderId="0" applyFont="0" applyFill="0" applyBorder="0" applyAlignment="0" applyProtection="0">
      <alignment vertical="top"/>
    </xf>
    <xf numFmtId="0" fontId="18" fillId="0" borderId="0">
      <alignment vertical="center"/>
    </xf>
    <xf numFmtId="0" fontId="21" fillId="0" borderId="0">
      <alignment vertical="center"/>
    </xf>
  </cellStyleXfs>
  <cellXfs count="84">
    <xf numFmtId="0" fontId="0" fillId="0" borderId="0" xfId="0">
      <alignment vertical="top"/>
    </xf>
    <xf numFmtId="0" fontId="6" fillId="0" borderId="0" xfId="0" applyFont="1" applyAlignment="1">
      <alignment horizontal="right" vertical="top"/>
    </xf>
    <xf numFmtId="0" fontId="0" fillId="0" borderId="1" xfId="0" applyBorder="1">
      <alignment vertical="top"/>
    </xf>
    <xf numFmtId="0" fontId="2" fillId="0" borderId="1" xfId="0" applyFont="1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2" fillId="0" borderId="1" xfId="0" applyFont="1" applyBorder="1" applyAlignment="1">
      <alignment vertical="top" readingOrder="1"/>
    </xf>
    <xf numFmtId="0" fontId="2" fillId="0" borderId="2" xfId="0" applyFont="1" applyBorder="1" applyAlignment="1">
      <alignment horizontal="left" vertical="top" wrapText="1" readingOrder="1"/>
    </xf>
    <xf numFmtId="4" fontId="2" fillId="0" borderId="1" xfId="0" applyNumberFormat="1" applyFont="1" applyBorder="1" applyAlignment="1">
      <alignment horizontal="right" vertical="top"/>
    </xf>
    <xf numFmtId="4" fontId="2" fillId="0" borderId="1" xfId="0" applyNumberFormat="1" applyFont="1" applyBorder="1" applyAlignment="1">
      <alignment vertical="top"/>
    </xf>
    <xf numFmtId="4" fontId="3" fillId="0" borderId="1" xfId="0" applyNumberFormat="1" applyFont="1" applyBorder="1" applyAlignment="1">
      <alignment horizontal="right" vertical="top"/>
    </xf>
    <xf numFmtId="0" fontId="0" fillId="0" borderId="1" xfId="0" applyBorder="1" applyAlignment="1">
      <alignment vertical="top"/>
    </xf>
    <xf numFmtId="10" fontId="3" fillId="0" borderId="1" xfId="1" applyNumberFormat="1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3" xfId="0" applyBorder="1" applyAlignment="1">
      <alignment vertical="top"/>
    </xf>
    <xf numFmtId="0" fontId="4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top"/>
    </xf>
    <xf numFmtId="10" fontId="7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 readingOrder="1"/>
    </xf>
    <xf numFmtId="0" fontId="5" fillId="2" borderId="1" xfId="0" applyFont="1" applyFill="1" applyBorder="1" applyAlignment="1">
      <alignment horizontal="center" vertical="top"/>
    </xf>
    <xf numFmtId="0" fontId="8" fillId="0" borderId="2" xfId="0" applyFont="1" applyBorder="1" applyAlignment="1">
      <alignment horizontal="left" vertical="top" wrapText="1" readingOrder="1"/>
    </xf>
    <xf numFmtId="4" fontId="10" fillId="0" borderId="1" xfId="0" applyNumberFormat="1" applyFont="1" applyBorder="1" applyAlignment="1">
      <alignment horizontal="right" vertical="center"/>
    </xf>
    <xf numFmtId="4" fontId="7" fillId="0" borderId="1" xfId="0" applyNumberFormat="1" applyFont="1" applyBorder="1" applyAlignment="1">
      <alignment horizontal="right" vertical="top"/>
    </xf>
    <xf numFmtId="0" fontId="7" fillId="0" borderId="1" xfId="0" applyFont="1" applyBorder="1" applyAlignment="1">
      <alignment vertical="center" wrapText="1" readingOrder="1"/>
    </xf>
    <xf numFmtId="0" fontId="15" fillId="2" borderId="1" xfId="0" applyFont="1" applyFill="1" applyBorder="1" applyAlignment="1">
      <alignment horizontal="center" vertical="top" wrapText="1" readingOrder="1"/>
    </xf>
    <xf numFmtId="0" fontId="15" fillId="0" borderId="1" xfId="0" applyFont="1" applyBorder="1" applyAlignment="1">
      <alignment horizontal="center" vertical="top" wrapText="1" readingOrder="1"/>
    </xf>
    <xf numFmtId="0" fontId="16" fillId="0" borderId="2" xfId="0" applyFont="1" applyBorder="1" applyAlignment="1">
      <alignment horizontal="center" vertical="top"/>
    </xf>
    <xf numFmtId="0" fontId="16" fillId="0" borderId="0" xfId="0" applyFont="1">
      <alignment vertical="top"/>
    </xf>
    <xf numFmtId="0" fontId="9" fillId="2" borderId="2" xfId="0" applyFont="1" applyFill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17" fillId="0" borderId="0" xfId="0" applyFont="1" applyAlignment="1">
      <alignment horizontal="right" vertical="top"/>
    </xf>
    <xf numFmtId="4" fontId="20" fillId="6" borderId="1" xfId="2" applyNumberFormat="1" applyFont="1" applyFill="1" applyBorder="1" applyAlignment="1" applyProtection="1">
      <alignment vertical="top"/>
      <protection locked="0"/>
    </xf>
    <xf numFmtId="4" fontId="19" fillId="6" borderId="1" xfId="3" applyNumberFormat="1" applyFont="1" applyFill="1" applyBorder="1" applyAlignment="1" applyProtection="1">
      <alignment vertical="top"/>
      <protection locked="0"/>
    </xf>
    <xf numFmtId="164" fontId="19" fillId="6" borderId="1" xfId="3" applyNumberFormat="1" applyFont="1" applyFill="1" applyBorder="1" applyAlignment="1" applyProtection="1">
      <alignment vertical="top"/>
      <protection locked="0"/>
    </xf>
    <xf numFmtId="4" fontId="20" fillId="6" borderId="1" xfId="3" applyNumberFormat="1" applyFont="1" applyFill="1" applyBorder="1" applyAlignment="1" applyProtection="1">
      <alignment vertical="top"/>
      <protection locked="0"/>
    </xf>
    <xf numFmtId="4" fontId="16" fillId="0" borderId="0" xfId="0" applyNumberFormat="1" applyFo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3" fillId="3" borderId="2" xfId="0" applyFont="1" applyFill="1" applyBorder="1" applyAlignment="1">
      <alignment horizontal="center" vertical="top"/>
    </xf>
    <xf numFmtId="0" fontId="13" fillId="3" borderId="3" xfId="0" applyFont="1" applyFill="1" applyBorder="1" applyAlignment="1">
      <alignment horizontal="center" vertical="top"/>
    </xf>
    <xf numFmtId="0" fontId="13" fillId="3" borderId="4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2" fillId="0" borderId="4" xfId="0" applyFont="1" applyBorder="1" applyAlignment="1">
      <alignment horizontal="left" vertical="top" wrapText="1" readingOrder="1"/>
    </xf>
    <xf numFmtId="0" fontId="14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 readingOrder="1"/>
    </xf>
    <xf numFmtId="0" fontId="10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0" fillId="3" borderId="2" xfId="0" applyFill="1" applyBorder="1" applyAlignment="1">
      <alignment horizontal="center" vertical="top"/>
    </xf>
    <xf numFmtId="0" fontId="0" fillId="3" borderId="3" xfId="0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0" fontId="11" fillId="0" borderId="5" xfId="0" applyFont="1" applyBorder="1" applyAlignment="1">
      <alignment horizontal="center" vertical="center" readingOrder="1"/>
    </xf>
    <xf numFmtId="0" fontId="11" fillId="0" borderId="6" xfId="0" applyFont="1" applyBorder="1" applyAlignment="1">
      <alignment horizontal="center" vertical="center" readingOrder="1"/>
    </xf>
    <xf numFmtId="0" fontId="11" fillId="0" borderId="7" xfId="0" applyFont="1" applyBorder="1" applyAlignment="1">
      <alignment horizontal="center" vertical="center" readingOrder="1"/>
    </xf>
    <xf numFmtId="0" fontId="11" fillId="0" borderId="8" xfId="0" applyFont="1" applyBorder="1" applyAlignment="1">
      <alignment horizontal="center" vertical="center" readingOrder="1"/>
    </xf>
    <xf numFmtId="0" fontId="11" fillId="0" borderId="0" xfId="0" applyFont="1" applyBorder="1" applyAlignment="1">
      <alignment horizontal="center" vertical="center" readingOrder="1"/>
    </xf>
    <xf numFmtId="0" fontId="11" fillId="0" borderId="9" xfId="0" applyFont="1" applyBorder="1" applyAlignment="1">
      <alignment horizontal="center" vertical="center" readingOrder="1"/>
    </xf>
    <xf numFmtId="0" fontId="11" fillId="0" borderId="10" xfId="0" applyFont="1" applyBorder="1" applyAlignment="1">
      <alignment horizontal="center" vertical="center" readingOrder="1"/>
    </xf>
    <xf numFmtId="0" fontId="11" fillId="0" borderId="11" xfId="0" applyFont="1" applyBorder="1" applyAlignment="1">
      <alignment horizontal="center" vertical="center" readingOrder="1"/>
    </xf>
    <xf numFmtId="0" fontId="11" fillId="0" borderId="12" xfId="0" applyFont="1" applyBorder="1" applyAlignment="1">
      <alignment horizontal="center" vertical="center" readingOrder="1"/>
    </xf>
    <xf numFmtId="0" fontId="10" fillId="2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10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 readingOrder="1"/>
    </xf>
    <xf numFmtId="0" fontId="4" fillId="0" borderId="4" xfId="0" applyFont="1" applyBorder="1" applyAlignment="1">
      <alignment horizontal="center" vertical="top" wrapText="1" readingOrder="1"/>
    </xf>
    <xf numFmtId="0" fontId="10" fillId="4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top" wrapText="1" readingOrder="1"/>
    </xf>
    <xf numFmtId="0" fontId="4" fillId="2" borderId="4" xfId="0" applyFont="1" applyFill="1" applyBorder="1" applyAlignment="1">
      <alignment horizontal="center"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P321"/>
  <sheetViews>
    <sheetView showGridLines="0" tabSelected="1" showOutlineSymbols="0" view="pageBreakPreview" topLeftCell="D1" zoomScaleNormal="100" zoomScaleSheetLayoutView="100" zoomScalePageLayoutView="85" workbookViewId="0">
      <selection activeCell="E279" sqref="E279:F279"/>
    </sheetView>
  </sheetViews>
  <sheetFormatPr baseColWidth="10" defaultColWidth="6.85546875" defaultRowHeight="12.75" customHeight="1" x14ac:dyDescent="0.2"/>
  <cols>
    <col min="1" max="1" width="5.7109375" customWidth="1"/>
    <col min="2" max="2" width="4.5703125" customWidth="1"/>
    <col min="3" max="3" width="1.28515625" customWidth="1"/>
    <col min="4" max="4" width="4.42578125" customWidth="1"/>
    <col min="5" max="5" width="23.5703125" customWidth="1"/>
    <col min="6" max="6" width="18.7109375" customWidth="1"/>
    <col min="7" max="7" width="6.85546875" customWidth="1"/>
    <col min="8" max="8" width="8.85546875" style="30" customWidth="1"/>
    <col min="9" max="9" width="7.28515625" customWidth="1"/>
    <col min="10" max="10" width="8.28515625" style="30" customWidth="1"/>
    <col min="11" max="11" width="8.28515625" customWidth="1"/>
    <col min="12" max="13" width="10.7109375" customWidth="1"/>
    <col min="14" max="15" width="9.7109375" customWidth="1"/>
    <col min="16" max="16" width="7.85546875" customWidth="1"/>
  </cols>
  <sheetData>
    <row r="1" spans="2:16" ht="16.899999999999999" customHeight="1" x14ac:dyDescent="0.2">
      <c r="B1" s="50" t="s">
        <v>332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spans="2:16" ht="10.5" customHeight="1" x14ac:dyDescent="0.2">
      <c r="B2" s="58" t="s">
        <v>336</v>
      </c>
      <c r="C2" s="59"/>
      <c r="D2" s="59"/>
      <c r="E2" s="60"/>
      <c r="F2" s="51" t="s">
        <v>337</v>
      </c>
      <c r="G2" s="51"/>
      <c r="H2" s="51"/>
      <c r="I2" s="51"/>
      <c r="J2" s="51"/>
      <c r="K2" s="51"/>
      <c r="L2" s="51"/>
      <c r="M2" s="51"/>
      <c r="N2" s="51"/>
      <c r="O2" s="51"/>
      <c r="P2" s="51"/>
    </row>
    <row r="3" spans="2:16" ht="9.75" customHeight="1" x14ac:dyDescent="0.2">
      <c r="B3" s="61"/>
      <c r="C3" s="62"/>
      <c r="D3" s="62"/>
      <c r="E3" s="63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</row>
    <row r="4" spans="2:16" ht="17.25" customHeight="1" x14ac:dyDescent="0.2">
      <c r="B4" s="61"/>
      <c r="C4" s="62"/>
      <c r="D4" s="62"/>
      <c r="E4" s="63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</row>
    <row r="5" spans="2:16" ht="10.5" customHeight="1" x14ac:dyDescent="0.2">
      <c r="B5" s="64"/>
      <c r="C5" s="65"/>
      <c r="D5" s="65"/>
      <c r="E5" s="66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</row>
    <row r="6" spans="2:16" ht="10.5" customHeight="1" x14ac:dyDescent="0.2">
      <c r="B6" s="23" t="s">
        <v>333</v>
      </c>
      <c r="C6" s="69" t="s">
        <v>331</v>
      </c>
      <c r="D6" s="70"/>
      <c r="E6" s="70"/>
      <c r="F6" s="70"/>
      <c r="G6" s="70"/>
      <c r="H6" s="70"/>
      <c r="I6" s="70"/>
      <c r="J6" s="71"/>
      <c r="K6" s="78" t="s">
        <v>325</v>
      </c>
      <c r="L6" s="79"/>
      <c r="M6" s="79"/>
      <c r="N6" s="79"/>
      <c r="O6" s="79"/>
      <c r="P6" s="80"/>
    </row>
    <row r="7" spans="2:16" ht="11.25" customHeight="1" x14ac:dyDescent="0.2">
      <c r="B7" s="8" t="s">
        <v>0</v>
      </c>
      <c r="C7" s="72" t="s">
        <v>338</v>
      </c>
      <c r="D7" s="73"/>
      <c r="E7" s="73"/>
      <c r="F7" s="73"/>
      <c r="G7" s="73"/>
      <c r="H7" s="73"/>
      <c r="I7" s="73"/>
      <c r="J7" s="73"/>
      <c r="K7" s="75" t="s">
        <v>326</v>
      </c>
      <c r="L7" s="75"/>
      <c r="M7" s="67" t="s">
        <v>327</v>
      </c>
      <c r="N7" s="68"/>
      <c r="O7" s="67" t="s">
        <v>328</v>
      </c>
      <c r="P7" s="68"/>
    </row>
    <row r="8" spans="2:16" ht="20.25" customHeight="1" x14ac:dyDescent="0.2">
      <c r="B8" s="81" t="s">
        <v>1</v>
      </c>
      <c r="C8" s="82"/>
      <c r="D8" s="20"/>
      <c r="E8" s="83" t="s">
        <v>2</v>
      </c>
      <c r="F8" s="83"/>
      <c r="G8" s="21" t="s">
        <v>3</v>
      </c>
      <c r="H8" s="27" t="s">
        <v>4</v>
      </c>
      <c r="I8" s="22" t="s">
        <v>5</v>
      </c>
      <c r="J8" s="31" t="s">
        <v>6</v>
      </c>
      <c r="K8" s="74">
        <v>0.10390000000000001</v>
      </c>
      <c r="L8" s="74"/>
      <c r="M8" s="74">
        <v>0.63949999999999996</v>
      </c>
      <c r="N8" s="74"/>
      <c r="O8" s="74">
        <v>0.25659999999999999</v>
      </c>
      <c r="P8" s="74"/>
    </row>
    <row r="9" spans="2:16" ht="16.149999999999999" customHeight="1" x14ac:dyDescent="0.2">
      <c r="B9" s="76"/>
      <c r="C9" s="77"/>
      <c r="D9" s="12"/>
      <c r="E9" s="15"/>
      <c r="F9" s="14"/>
      <c r="G9" s="16"/>
      <c r="H9" s="28"/>
      <c r="I9" s="17"/>
      <c r="J9" s="32"/>
      <c r="K9" s="19" t="s">
        <v>334</v>
      </c>
      <c r="L9" s="18" t="s">
        <v>335</v>
      </c>
      <c r="M9" s="19" t="s">
        <v>334</v>
      </c>
      <c r="N9" s="18" t="s">
        <v>335</v>
      </c>
      <c r="O9" s="19" t="s">
        <v>334</v>
      </c>
      <c r="P9" s="18" t="s">
        <v>335</v>
      </c>
    </row>
    <row r="10" spans="2:16" ht="11.25" customHeight="1" x14ac:dyDescent="0.2">
      <c r="B10" s="44" t="s">
        <v>7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6"/>
    </row>
    <row r="11" spans="2:16" ht="10.5" customHeight="1" x14ac:dyDescent="0.2">
      <c r="B11" s="39"/>
      <c r="C11" s="39"/>
      <c r="D11" s="39"/>
      <c r="E11" s="40" t="s">
        <v>8</v>
      </c>
      <c r="F11" s="40"/>
      <c r="G11" s="3" t="s">
        <v>9</v>
      </c>
      <c r="H11" s="34">
        <v>2999.4362000000001</v>
      </c>
      <c r="I11" s="9">
        <v>28.95</v>
      </c>
      <c r="J11" s="35">
        <v>86833.68</v>
      </c>
      <c r="K11" s="9">
        <f>H11*$K$8</f>
        <v>311.64142118000001</v>
      </c>
      <c r="L11" s="10">
        <f>J11*$K$8</f>
        <v>9022.0193519999993</v>
      </c>
      <c r="M11" s="10">
        <f>H11*$M$8</f>
        <v>1918.1394499</v>
      </c>
      <c r="N11" s="10">
        <f>J11*$M$8</f>
        <v>55530.13835999999</v>
      </c>
      <c r="O11" s="10">
        <f>H11*$O$8</f>
        <v>769.65532891999999</v>
      </c>
      <c r="P11" s="10">
        <f>J11*$O$8</f>
        <v>22281.522287999996</v>
      </c>
    </row>
    <row r="12" spans="2:16" ht="10.5" customHeight="1" x14ac:dyDescent="0.2">
      <c r="B12" s="39"/>
      <c r="C12" s="39"/>
      <c r="D12" s="39"/>
      <c r="E12" s="40" t="s">
        <v>10</v>
      </c>
      <c r="F12" s="40"/>
      <c r="G12" s="3" t="s">
        <v>9</v>
      </c>
      <c r="H12" s="34">
        <v>874.63620000000003</v>
      </c>
      <c r="I12" s="9">
        <v>22.68</v>
      </c>
      <c r="J12" s="35">
        <v>19836.75</v>
      </c>
      <c r="K12" s="9">
        <f>H12*$K$8</f>
        <v>90.874701180000002</v>
      </c>
      <c r="L12" s="10">
        <f>J12*$K$8</f>
        <v>2061.038325</v>
      </c>
      <c r="M12" s="10">
        <f>H12*$M$8</f>
        <v>559.3298499</v>
      </c>
      <c r="N12" s="10">
        <f>J12*$M$8</f>
        <v>12685.601624999999</v>
      </c>
      <c r="O12" s="10">
        <f>H12*$O$8</f>
        <v>224.43164892000001</v>
      </c>
      <c r="P12" s="10">
        <f>J12*$O$8</f>
        <v>5090.1100500000002</v>
      </c>
    </row>
    <row r="13" spans="2:16" ht="10.5" customHeight="1" x14ac:dyDescent="0.2">
      <c r="B13" s="39"/>
      <c r="C13" s="39"/>
      <c r="D13" s="39"/>
      <c r="E13" s="40" t="s">
        <v>11</v>
      </c>
      <c r="F13" s="40"/>
      <c r="G13" s="3" t="s">
        <v>9</v>
      </c>
      <c r="H13" s="34">
        <v>5523.1869999999999</v>
      </c>
      <c r="I13" s="9">
        <v>20.54</v>
      </c>
      <c r="J13" s="35">
        <v>113446.26</v>
      </c>
      <c r="K13" s="9">
        <f>H13*$K$8</f>
        <v>573.85912930000006</v>
      </c>
      <c r="L13" s="10">
        <f>J13*$K$8</f>
        <v>11787.066414000001</v>
      </c>
      <c r="M13" s="10">
        <f>H13*$M$8</f>
        <v>3532.0780864999997</v>
      </c>
      <c r="N13" s="10">
        <f>J13*$M$8</f>
        <v>72548.883269999991</v>
      </c>
      <c r="O13" s="10">
        <f>H13*$O$8</f>
        <v>1417.2497842</v>
      </c>
      <c r="P13" s="10">
        <f>J13*$O$8</f>
        <v>29110.310315999999</v>
      </c>
    </row>
    <row r="14" spans="2:16" x14ac:dyDescent="0.2">
      <c r="B14" s="41"/>
      <c r="C14" s="42"/>
      <c r="D14" s="43"/>
      <c r="E14" s="41"/>
      <c r="F14" s="43"/>
      <c r="G14" s="2"/>
      <c r="H14" s="29"/>
      <c r="I14" s="4"/>
      <c r="J14" s="25">
        <f>J11+J12+J13</f>
        <v>220116.69</v>
      </c>
      <c r="K14" s="11"/>
      <c r="L14" s="11">
        <f>+SUM(L11:L13)</f>
        <v>22870.124090999998</v>
      </c>
      <c r="M14" s="11"/>
      <c r="N14" s="11">
        <f>+SUM(N11:N13)</f>
        <v>140764.62325499998</v>
      </c>
      <c r="O14" s="11"/>
      <c r="P14" s="11">
        <f>+SUM(P11:P13)</f>
        <v>56481.942653999999</v>
      </c>
    </row>
    <row r="15" spans="2:16" ht="15" customHeight="1" x14ac:dyDescent="0.2">
      <c r="B15" s="41"/>
      <c r="C15" s="42"/>
      <c r="D15" s="43"/>
      <c r="E15" s="41"/>
      <c r="F15" s="43"/>
      <c r="G15" s="41"/>
      <c r="H15" s="42"/>
      <c r="I15" s="42"/>
      <c r="J15" s="43"/>
      <c r="K15" s="6"/>
      <c r="L15" s="11">
        <f>+L14</f>
        <v>22870.124090999998</v>
      </c>
      <c r="M15" s="11"/>
      <c r="N15" s="11">
        <f>+L15+N14</f>
        <v>163634.74734599999</v>
      </c>
      <c r="O15" s="11"/>
      <c r="P15" s="11">
        <f>+N15+P14</f>
        <v>220116.69</v>
      </c>
    </row>
    <row r="16" spans="2:16" ht="12.75" customHeight="1" x14ac:dyDescent="0.2">
      <c r="B16" s="44" t="s">
        <v>12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6"/>
    </row>
    <row r="17" spans="2:16" ht="11.25" customHeight="1" x14ac:dyDescent="0.2">
      <c r="B17" s="39"/>
      <c r="C17" s="39"/>
      <c r="D17" s="39"/>
      <c r="E17" s="7" t="s">
        <v>13</v>
      </c>
      <c r="F17" s="7"/>
      <c r="G17" s="3" t="s">
        <v>14</v>
      </c>
      <c r="H17" s="36">
        <v>3</v>
      </c>
      <c r="I17" s="35">
        <v>500</v>
      </c>
      <c r="J17" s="35">
        <v>1500</v>
      </c>
      <c r="K17" s="9">
        <f>H17*$K$8</f>
        <v>0.31170000000000003</v>
      </c>
      <c r="L17" s="10">
        <f t="shared" ref="L17:L80" si="0">J17*$K$8</f>
        <v>155.85000000000002</v>
      </c>
      <c r="M17" s="10">
        <f>H17*$M$8</f>
        <v>1.9184999999999999</v>
      </c>
      <c r="N17" s="10">
        <f t="shared" ref="N17:N80" si="1">J17*$M$8</f>
        <v>959.24999999999989</v>
      </c>
      <c r="O17" s="10">
        <f>H17*$O$8</f>
        <v>0.76980000000000004</v>
      </c>
      <c r="P17" s="10">
        <f t="shared" ref="P17:P80" si="2">J17*$O$8</f>
        <v>384.9</v>
      </c>
    </row>
    <row r="18" spans="2:16" ht="10.5" customHeight="1" x14ac:dyDescent="0.2">
      <c r="B18" s="39"/>
      <c r="C18" s="39"/>
      <c r="D18" s="39"/>
      <c r="E18" s="40" t="s">
        <v>15</v>
      </c>
      <c r="F18" s="40"/>
      <c r="G18" s="3" t="s">
        <v>16</v>
      </c>
      <c r="H18" s="36">
        <v>10</v>
      </c>
      <c r="I18" s="35">
        <v>3</v>
      </c>
      <c r="J18" s="35">
        <v>30</v>
      </c>
      <c r="K18" s="9">
        <f t="shared" ref="K18:K81" si="3">H18*$K$8</f>
        <v>1.0390000000000001</v>
      </c>
      <c r="L18" s="10">
        <f t="shared" si="0"/>
        <v>3.117</v>
      </c>
      <c r="M18" s="10">
        <f t="shared" ref="M18:M81" si="4">H18*$M$8</f>
        <v>6.3949999999999996</v>
      </c>
      <c r="N18" s="10">
        <f t="shared" si="1"/>
        <v>19.184999999999999</v>
      </c>
      <c r="O18" s="10">
        <f t="shared" ref="O18:O81" si="5">H18*$O$8</f>
        <v>2.5659999999999998</v>
      </c>
      <c r="P18" s="10">
        <f t="shared" si="2"/>
        <v>7.6979999999999995</v>
      </c>
    </row>
    <row r="19" spans="2:16" ht="10.5" customHeight="1" x14ac:dyDescent="0.2">
      <c r="B19" s="39"/>
      <c r="C19" s="39"/>
      <c r="D19" s="39"/>
      <c r="E19" s="40" t="s">
        <v>17</v>
      </c>
      <c r="F19" s="40"/>
      <c r="G19" s="3" t="s">
        <v>18</v>
      </c>
      <c r="H19" s="36">
        <v>1</v>
      </c>
      <c r="I19" s="35">
        <v>1500</v>
      </c>
      <c r="J19" s="35">
        <v>1500</v>
      </c>
      <c r="K19" s="9">
        <f t="shared" si="3"/>
        <v>0.10390000000000001</v>
      </c>
      <c r="L19" s="10">
        <f t="shared" si="0"/>
        <v>155.85000000000002</v>
      </c>
      <c r="M19" s="10">
        <f t="shared" si="4"/>
        <v>0.63949999999999996</v>
      </c>
      <c r="N19" s="10">
        <f t="shared" si="1"/>
        <v>959.24999999999989</v>
      </c>
      <c r="O19" s="10">
        <f t="shared" si="5"/>
        <v>0.25659999999999999</v>
      </c>
      <c r="P19" s="10">
        <f t="shared" si="2"/>
        <v>384.9</v>
      </c>
    </row>
    <row r="20" spans="2:16" ht="10.5" customHeight="1" x14ac:dyDescent="0.2">
      <c r="B20" s="39"/>
      <c r="C20" s="39"/>
      <c r="D20" s="39"/>
      <c r="E20" s="40" t="s">
        <v>19</v>
      </c>
      <c r="F20" s="40"/>
      <c r="G20" s="3" t="s">
        <v>18</v>
      </c>
      <c r="H20" s="36">
        <v>1</v>
      </c>
      <c r="I20" s="35">
        <v>2300</v>
      </c>
      <c r="J20" s="35">
        <v>2300</v>
      </c>
      <c r="K20" s="9">
        <f t="shared" si="3"/>
        <v>0.10390000000000001</v>
      </c>
      <c r="L20" s="10">
        <f t="shared" si="0"/>
        <v>238.97000000000003</v>
      </c>
      <c r="M20" s="10">
        <f t="shared" si="4"/>
        <v>0.63949999999999996</v>
      </c>
      <c r="N20" s="10">
        <f t="shared" si="1"/>
        <v>1470.85</v>
      </c>
      <c r="O20" s="10">
        <f t="shared" si="5"/>
        <v>0.25659999999999999</v>
      </c>
      <c r="P20" s="10">
        <f t="shared" si="2"/>
        <v>590.17999999999995</v>
      </c>
    </row>
    <row r="21" spans="2:16" ht="10.5" customHeight="1" x14ac:dyDescent="0.2">
      <c r="B21" s="39"/>
      <c r="C21" s="39"/>
      <c r="D21" s="39"/>
      <c r="E21" s="40" t="s">
        <v>20</v>
      </c>
      <c r="F21" s="40"/>
      <c r="G21" s="3" t="s">
        <v>18</v>
      </c>
      <c r="H21" s="36">
        <v>1</v>
      </c>
      <c r="I21" s="35">
        <v>400</v>
      </c>
      <c r="J21" s="35">
        <v>400</v>
      </c>
      <c r="K21" s="9">
        <f t="shared" si="3"/>
        <v>0.10390000000000001</v>
      </c>
      <c r="L21" s="10">
        <f t="shared" si="0"/>
        <v>41.56</v>
      </c>
      <c r="M21" s="10">
        <f t="shared" si="4"/>
        <v>0.63949999999999996</v>
      </c>
      <c r="N21" s="10">
        <f t="shared" si="1"/>
        <v>255.79999999999998</v>
      </c>
      <c r="O21" s="10">
        <f t="shared" si="5"/>
        <v>0.25659999999999999</v>
      </c>
      <c r="P21" s="10">
        <f t="shared" si="2"/>
        <v>102.64</v>
      </c>
    </row>
    <row r="22" spans="2:16" ht="10.5" customHeight="1" x14ac:dyDescent="0.2">
      <c r="B22" s="39"/>
      <c r="C22" s="39"/>
      <c r="D22" s="39"/>
      <c r="E22" s="40" t="s">
        <v>21</v>
      </c>
      <c r="F22" s="40"/>
      <c r="G22" s="3" t="s">
        <v>18</v>
      </c>
      <c r="H22" s="36">
        <v>1</v>
      </c>
      <c r="I22" s="35">
        <v>550</v>
      </c>
      <c r="J22" s="35">
        <v>550</v>
      </c>
      <c r="K22" s="9">
        <f t="shared" si="3"/>
        <v>0.10390000000000001</v>
      </c>
      <c r="L22" s="10">
        <f t="shared" si="0"/>
        <v>57.145000000000003</v>
      </c>
      <c r="M22" s="10">
        <f t="shared" si="4"/>
        <v>0.63949999999999996</v>
      </c>
      <c r="N22" s="10">
        <f t="shared" si="1"/>
        <v>351.72499999999997</v>
      </c>
      <c r="O22" s="10">
        <f t="shared" si="5"/>
        <v>0.25659999999999999</v>
      </c>
      <c r="P22" s="10">
        <f t="shared" si="2"/>
        <v>141.13</v>
      </c>
    </row>
    <row r="23" spans="2:16" ht="10.5" customHeight="1" x14ac:dyDescent="0.2">
      <c r="B23" s="39"/>
      <c r="C23" s="39"/>
      <c r="D23" s="39"/>
      <c r="E23" s="40" t="s">
        <v>22</v>
      </c>
      <c r="F23" s="40"/>
      <c r="G23" s="3" t="s">
        <v>23</v>
      </c>
      <c r="H23" s="36">
        <v>206.24940000000001</v>
      </c>
      <c r="I23" s="35">
        <v>7.5</v>
      </c>
      <c r="J23" s="35">
        <v>1546.87</v>
      </c>
      <c r="K23" s="9">
        <f t="shared" si="3"/>
        <v>21.429312660000001</v>
      </c>
      <c r="L23" s="10">
        <f t="shared" si="0"/>
        <v>160.71979300000001</v>
      </c>
      <c r="M23" s="10">
        <f t="shared" si="4"/>
        <v>131.89649130000001</v>
      </c>
      <c r="N23" s="10">
        <f t="shared" si="1"/>
        <v>989.22336499999983</v>
      </c>
      <c r="O23" s="10">
        <f t="shared" si="5"/>
        <v>52.92359604</v>
      </c>
      <c r="P23" s="10">
        <f t="shared" si="2"/>
        <v>396.92684199999997</v>
      </c>
    </row>
    <row r="24" spans="2:16" ht="10.5" customHeight="1" x14ac:dyDescent="0.2">
      <c r="B24" s="39"/>
      <c r="C24" s="39"/>
      <c r="D24" s="39"/>
      <c r="E24" s="40" t="s">
        <v>24</v>
      </c>
      <c r="F24" s="40"/>
      <c r="G24" s="3" t="s">
        <v>23</v>
      </c>
      <c r="H24" s="36">
        <v>194.90799999999999</v>
      </c>
      <c r="I24" s="35">
        <v>7.5</v>
      </c>
      <c r="J24" s="35">
        <v>1461.81</v>
      </c>
      <c r="K24" s="9">
        <f t="shared" si="3"/>
        <v>20.2509412</v>
      </c>
      <c r="L24" s="10">
        <f t="shared" si="0"/>
        <v>151.882059</v>
      </c>
      <c r="M24" s="10">
        <f t="shared" si="4"/>
        <v>124.64366599999998</v>
      </c>
      <c r="N24" s="10">
        <f t="shared" si="1"/>
        <v>934.82749499999989</v>
      </c>
      <c r="O24" s="10">
        <f t="shared" si="5"/>
        <v>50.013392799999998</v>
      </c>
      <c r="P24" s="10">
        <f t="shared" si="2"/>
        <v>375.10044599999998</v>
      </c>
    </row>
    <row r="25" spans="2:16" ht="10.5" customHeight="1" x14ac:dyDescent="0.2">
      <c r="B25" s="39"/>
      <c r="C25" s="39"/>
      <c r="D25" s="39"/>
      <c r="E25" s="40" t="s">
        <v>25</v>
      </c>
      <c r="F25" s="40"/>
      <c r="G25" s="3" t="s">
        <v>23</v>
      </c>
      <c r="H25" s="36">
        <v>110.756</v>
      </c>
      <c r="I25" s="35">
        <v>7.5</v>
      </c>
      <c r="J25" s="35">
        <v>830.67</v>
      </c>
      <c r="K25" s="9">
        <f t="shared" si="3"/>
        <v>11.507548400000001</v>
      </c>
      <c r="L25" s="10">
        <f t="shared" si="0"/>
        <v>86.306612999999999</v>
      </c>
      <c r="M25" s="10">
        <f t="shared" si="4"/>
        <v>70.828462000000002</v>
      </c>
      <c r="N25" s="10">
        <f t="shared" si="1"/>
        <v>531.21346499999993</v>
      </c>
      <c r="O25" s="10">
        <f t="shared" si="5"/>
        <v>28.419989600000001</v>
      </c>
      <c r="P25" s="10">
        <f t="shared" si="2"/>
        <v>213.14992199999998</v>
      </c>
    </row>
    <row r="26" spans="2:16" ht="10.5" customHeight="1" x14ac:dyDescent="0.2">
      <c r="B26" s="39"/>
      <c r="C26" s="39"/>
      <c r="D26" s="39"/>
      <c r="E26" s="7" t="s">
        <v>26</v>
      </c>
      <c r="F26" s="7"/>
      <c r="G26" s="3" t="s">
        <v>27</v>
      </c>
      <c r="H26" s="36">
        <v>1005.25</v>
      </c>
      <c r="I26" s="35">
        <v>6.5</v>
      </c>
      <c r="J26" s="35">
        <v>6534.13</v>
      </c>
      <c r="K26" s="9">
        <f t="shared" si="3"/>
        <v>104.445475</v>
      </c>
      <c r="L26" s="10">
        <f t="shared" si="0"/>
        <v>678.89610700000003</v>
      </c>
      <c r="M26" s="10">
        <f t="shared" si="4"/>
        <v>642.85737499999993</v>
      </c>
      <c r="N26" s="10">
        <f t="shared" si="1"/>
        <v>4178.5761349999993</v>
      </c>
      <c r="O26" s="10">
        <f t="shared" si="5"/>
        <v>257.94715000000002</v>
      </c>
      <c r="P26" s="10">
        <f t="shared" si="2"/>
        <v>1676.6577580000001</v>
      </c>
    </row>
    <row r="27" spans="2:16" ht="10.5" customHeight="1" x14ac:dyDescent="0.2">
      <c r="B27" s="39"/>
      <c r="C27" s="39"/>
      <c r="D27" s="39"/>
      <c r="E27" s="47" t="s">
        <v>28</v>
      </c>
      <c r="F27" s="47"/>
      <c r="G27" s="3" t="s">
        <v>23</v>
      </c>
      <c r="H27" s="36">
        <v>3356.3703</v>
      </c>
      <c r="I27" s="35">
        <v>5.3</v>
      </c>
      <c r="J27" s="35">
        <v>17788.759999999998</v>
      </c>
      <c r="K27" s="9">
        <f t="shared" si="3"/>
        <v>348.72687417000003</v>
      </c>
      <c r="L27" s="10">
        <f t="shared" si="0"/>
        <v>1848.252164</v>
      </c>
      <c r="M27" s="10">
        <f t="shared" si="4"/>
        <v>2146.3988068499998</v>
      </c>
      <c r="N27" s="10">
        <f t="shared" si="1"/>
        <v>11375.912019999998</v>
      </c>
      <c r="O27" s="10">
        <f t="shared" si="5"/>
        <v>861.24461898000004</v>
      </c>
      <c r="P27" s="10">
        <f t="shared" si="2"/>
        <v>4564.5958159999991</v>
      </c>
    </row>
    <row r="28" spans="2:16" ht="10.5" customHeight="1" x14ac:dyDescent="0.2">
      <c r="B28" s="39"/>
      <c r="C28" s="39"/>
      <c r="D28" s="39"/>
      <c r="E28" s="40" t="s">
        <v>29</v>
      </c>
      <c r="F28" s="40"/>
      <c r="G28" s="3" t="s">
        <v>30</v>
      </c>
      <c r="H28" s="36">
        <v>0.91500000000000004</v>
      </c>
      <c r="I28" s="35">
        <v>32</v>
      </c>
      <c r="J28" s="35">
        <v>29.28</v>
      </c>
      <c r="K28" s="9">
        <f t="shared" si="3"/>
        <v>9.5068500000000014E-2</v>
      </c>
      <c r="L28" s="10">
        <f t="shared" si="0"/>
        <v>3.0421920000000005</v>
      </c>
      <c r="M28" s="10">
        <f t="shared" si="4"/>
        <v>0.58514250000000001</v>
      </c>
      <c r="N28" s="10">
        <f t="shared" si="1"/>
        <v>18.72456</v>
      </c>
      <c r="O28" s="10">
        <f t="shared" si="5"/>
        <v>0.234789</v>
      </c>
      <c r="P28" s="10">
        <f t="shared" si="2"/>
        <v>7.5132479999999999</v>
      </c>
    </row>
    <row r="29" spans="2:16" ht="10.5" customHeight="1" x14ac:dyDescent="0.2">
      <c r="B29" s="39"/>
      <c r="C29" s="39"/>
      <c r="D29" s="39"/>
      <c r="E29" s="40" t="s">
        <v>31</v>
      </c>
      <c r="F29" s="40"/>
      <c r="G29" s="3" t="s">
        <v>32</v>
      </c>
      <c r="H29" s="36">
        <v>11.6114</v>
      </c>
      <c r="I29" s="35">
        <v>150</v>
      </c>
      <c r="J29" s="35">
        <v>1741.71</v>
      </c>
      <c r="K29" s="9">
        <f t="shared" si="3"/>
        <v>1.20642446</v>
      </c>
      <c r="L29" s="10">
        <f t="shared" si="0"/>
        <v>180.96366900000001</v>
      </c>
      <c r="M29" s="10">
        <f t="shared" si="4"/>
        <v>7.425490299999999</v>
      </c>
      <c r="N29" s="10">
        <f t="shared" si="1"/>
        <v>1113.823545</v>
      </c>
      <c r="O29" s="10">
        <f t="shared" si="5"/>
        <v>2.9794852399999998</v>
      </c>
      <c r="P29" s="10">
        <f t="shared" si="2"/>
        <v>446.92278599999997</v>
      </c>
    </row>
    <row r="30" spans="2:16" ht="10.5" customHeight="1" x14ac:dyDescent="0.2">
      <c r="B30" s="39"/>
      <c r="C30" s="39"/>
      <c r="D30" s="39"/>
      <c r="E30" s="48" t="s">
        <v>33</v>
      </c>
      <c r="F30" s="49"/>
      <c r="G30" s="3" t="s">
        <v>32</v>
      </c>
      <c r="H30" s="36">
        <v>34.530099999999997</v>
      </c>
      <c r="I30" s="35">
        <v>113.56</v>
      </c>
      <c r="J30" s="35">
        <v>3921.24</v>
      </c>
      <c r="K30" s="9">
        <f t="shared" si="3"/>
        <v>3.5876773900000001</v>
      </c>
      <c r="L30" s="10">
        <f t="shared" si="0"/>
        <v>407.41683599999999</v>
      </c>
      <c r="M30" s="10">
        <f t="shared" si="4"/>
        <v>22.081998949999996</v>
      </c>
      <c r="N30" s="10">
        <f t="shared" si="1"/>
        <v>2507.6329799999999</v>
      </c>
      <c r="O30" s="10">
        <f t="shared" si="5"/>
        <v>8.8604236599999986</v>
      </c>
      <c r="P30" s="10">
        <f t="shared" si="2"/>
        <v>1006.1901839999999</v>
      </c>
    </row>
    <row r="31" spans="2:16" ht="10.5" customHeight="1" x14ac:dyDescent="0.2">
      <c r="B31" s="39"/>
      <c r="C31" s="39"/>
      <c r="D31" s="39"/>
      <c r="E31" s="40" t="s">
        <v>34</v>
      </c>
      <c r="F31" s="40"/>
      <c r="G31" s="3" t="s">
        <v>32</v>
      </c>
      <c r="H31" s="36">
        <v>2.4986999999999999</v>
      </c>
      <c r="I31" s="35">
        <v>100.85</v>
      </c>
      <c r="J31" s="35">
        <v>251.99</v>
      </c>
      <c r="K31" s="9">
        <f t="shared" si="3"/>
        <v>0.25961493000000002</v>
      </c>
      <c r="L31" s="10">
        <f t="shared" si="0"/>
        <v>26.181761000000002</v>
      </c>
      <c r="M31" s="10">
        <f t="shared" si="4"/>
        <v>1.5979186499999998</v>
      </c>
      <c r="N31" s="10">
        <f t="shared" si="1"/>
        <v>161.147605</v>
      </c>
      <c r="O31" s="10">
        <f t="shared" si="5"/>
        <v>0.64116642000000001</v>
      </c>
      <c r="P31" s="10">
        <f t="shared" si="2"/>
        <v>64.660634000000002</v>
      </c>
    </row>
    <row r="32" spans="2:16" ht="10.5" customHeight="1" x14ac:dyDescent="0.2">
      <c r="B32" s="39"/>
      <c r="C32" s="39"/>
      <c r="D32" s="39"/>
      <c r="E32" s="40" t="s">
        <v>35</v>
      </c>
      <c r="F32" s="40"/>
      <c r="G32" s="3" t="s">
        <v>32</v>
      </c>
      <c r="H32" s="36">
        <v>14.0161</v>
      </c>
      <c r="I32" s="35">
        <v>100.85</v>
      </c>
      <c r="J32" s="35">
        <v>1413.53</v>
      </c>
      <c r="K32" s="9">
        <f t="shared" si="3"/>
        <v>1.4562727900000001</v>
      </c>
      <c r="L32" s="10">
        <f t="shared" si="0"/>
        <v>146.86576700000001</v>
      </c>
      <c r="M32" s="10">
        <f t="shared" si="4"/>
        <v>8.9632959499999991</v>
      </c>
      <c r="N32" s="10">
        <f t="shared" si="1"/>
        <v>903.95243499999992</v>
      </c>
      <c r="O32" s="10">
        <f t="shared" si="5"/>
        <v>3.5965312599999999</v>
      </c>
      <c r="P32" s="10">
        <f t="shared" si="2"/>
        <v>362.71179799999999</v>
      </c>
    </row>
    <row r="33" spans="2:16" ht="10.5" customHeight="1" x14ac:dyDescent="0.2">
      <c r="B33" s="39"/>
      <c r="C33" s="39"/>
      <c r="D33" s="39"/>
      <c r="E33" s="40" t="s">
        <v>36</v>
      </c>
      <c r="F33" s="40"/>
      <c r="G33" s="3" t="s">
        <v>32</v>
      </c>
      <c r="H33" s="36">
        <v>41.429400000000001</v>
      </c>
      <c r="I33" s="35">
        <v>105.08</v>
      </c>
      <c r="J33" s="35">
        <v>4353.3999999999996</v>
      </c>
      <c r="K33" s="9">
        <f t="shared" si="3"/>
        <v>4.3045146600000006</v>
      </c>
      <c r="L33" s="10">
        <f t="shared" si="0"/>
        <v>452.31826000000001</v>
      </c>
      <c r="M33" s="10">
        <f t="shared" si="4"/>
        <v>26.494101300000001</v>
      </c>
      <c r="N33" s="10">
        <f t="shared" si="1"/>
        <v>2783.9992999999995</v>
      </c>
      <c r="O33" s="10">
        <f t="shared" si="5"/>
        <v>10.63078404</v>
      </c>
      <c r="P33" s="10">
        <f t="shared" si="2"/>
        <v>1117.0824399999999</v>
      </c>
    </row>
    <row r="34" spans="2:16" ht="10.5" customHeight="1" x14ac:dyDescent="0.2">
      <c r="B34" s="39"/>
      <c r="C34" s="39"/>
      <c r="D34" s="39"/>
      <c r="E34" s="48" t="s">
        <v>37</v>
      </c>
      <c r="F34" s="49"/>
      <c r="G34" s="3" t="s">
        <v>38</v>
      </c>
      <c r="H34" s="36">
        <v>406.41</v>
      </c>
      <c r="I34" s="35">
        <v>2</v>
      </c>
      <c r="J34" s="35">
        <v>812.82</v>
      </c>
      <c r="K34" s="9">
        <f t="shared" si="3"/>
        <v>42.225999000000002</v>
      </c>
      <c r="L34" s="10">
        <f t="shared" si="0"/>
        <v>84.451998000000003</v>
      </c>
      <c r="M34" s="10">
        <f t="shared" si="4"/>
        <v>259.89919500000002</v>
      </c>
      <c r="N34" s="10">
        <f t="shared" si="1"/>
        <v>519.79839000000004</v>
      </c>
      <c r="O34" s="10">
        <f t="shared" si="5"/>
        <v>104.284806</v>
      </c>
      <c r="P34" s="10">
        <f t="shared" si="2"/>
        <v>208.56961200000001</v>
      </c>
    </row>
    <row r="35" spans="2:16" ht="10.5" customHeight="1" x14ac:dyDescent="0.2">
      <c r="B35" s="39"/>
      <c r="C35" s="39"/>
      <c r="D35" s="39"/>
      <c r="E35" s="40" t="s">
        <v>39</v>
      </c>
      <c r="F35" s="40"/>
      <c r="G35" s="3" t="s">
        <v>16</v>
      </c>
      <c r="H35" s="36">
        <v>8</v>
      </c>
      <c r="I35" s="35">
        <v>130</v>
      </c>
      <c r="J35" s="35">
        <v>1040</v>
      </c>
      <c r="K35" s="9">
        <f t="shared" si="3"/>
        <v>0.83120000000000005</v>
      </c>
      <c r="L35" s="10">
        <f t="shared" si="0"/>
        <v>108.05600000000001</v>
      </c>
      <c r="M35" s="10">
        <f t="shared" si="4"/>
        <v>5.1159999999999997</v>
      </c>
      <c r="N35" s="10">
        <f t="shared" si="1"/>
        <v>665.07999999999993</v>
      </c>
      <c r="O35" s="10">
        <f t="shared" si="5"/>
        <v>2.0528</v>
      </c>
      <c r="P35" s="10">
        <f t="shared" si="2"/>
        <v>266.86399999999998</v>
      </c>
    </row>
    <row r="36" spans="2:16" ht="10.5" customHeight="1" x14ac:dyDescent="0.2">
      <c r="B36" s="39"/>
      <c r="C36" s="39"/>
      <c r="D36" s="39"/>
      <c r="E36" s="40" t="s">
        <v>40</v>
      </c>
      <c r="F36" s="40"/>
      <c r="G36" s="3" t="s">
        <v>16</v>
      </c>
      <c r="H36" s="36">
        <v>1</v>
      </c>
      <c r="I36" s="35">
        <v>70</v>
      </c>
      <c r="J36" s="35">
        <v>70</v>
      </c>
      <c r="K36" s="9">
        <f t="shared" si="3"/>
        <v>0.10390000000000001</v>
      </c>
      <c r="L36" s="10">
        <f t="shared" si="0"/>
        <v>7.2730000000000006</v>
      </c>
      <c r="M36" s="10">
        <f t="shared" si="4"/>
        <v>0.63949999999999996</v>
      </c>
      <c r="N36" s="10">
        <f t="shared" si="1"/>
        <v>44.765000000000001</v>
      </c>
      <c r="O36" s="10">
        <f t="shared" si="5"/>
        <v>0.25659999999999999</v>
      </c>
      <c r="P36" s="10">
        <f t="shared" si="2"/>
        <v>17.962</v>
      </c>
    </row>
    <row r="37" spans="2:16" ht="10.5" customHeight="1" x14ac:dyDescent="0.2">
      <c r="B37" s="39"/>
      <c r="C37" s="39"/>
      <c r="D37" s="39"/>
      <c r="E37" s="40" t="s">
        <v>41</v>
      </c>
      <c r="F37" s="40"/>
      <c r="G37" s="3" t="s">
        <v>16</v>
      </c>
      <c r="H37" s="36">
        <v>2</v>
      </c>
      <c r="I37" s="35">
        <v>250</v>
      </c>
      <c r="J37" s="35">
        <v>500</v>
      </c>
      <c r="K37" s="9">
        <f t="shared" si="3"/>
        <v>0.20780000000000001</v>
      </c>
      <c r="L37" s="10">
        <f t="shared" si="0"/>
        <v>51.95</v>
      </c>
      <c r="M37" s="10">
        <f t="shared" si="4"/>
        <v>1.2789999999999999</v>
      </c>
      <c r="N37" s="10">
        <f t="shared" si="1"/>
        <v>319.75</v>
      </c>
      <c r="O37" s="10">
        <f t="shared" si="5"/>
        <v>0.51319999999999999</v>
      </c>
      <c r="P37" s="10">
        <f t="shared" si="2"/>
        <v>128.30000000000001</v>
      </c>
    </row>
    <row r="38" spans="2:16" ht="10.5" customHeight="1" x14ac:dyDescent="0.2">
      <c r="B38" s="39"/>
      <c r="C38" s="39"/>
      <c r="D38" s="39"/>
      <c r="E38" s="40" t="s">
        <v>42</v>
      </c>
      <c r="F38" s="40"/>
      <c r="G38" s="3" t="s">
        <v>16</v>
      </c>
      <c r="H38" s="36">
        <v>1</v>
      </c>
      <c r="I38" s="35">
        <v>90</v>
      </c>
      <c r="J38" s="35">
        <v>90</v>
      </c>
      <c r="K38" s="9">
        <f t="shared" si="3"/>
        <v>0.10390000000000001</v>
      </c>
      <c r="L38" s="10">
        <f t="shared" si="0"/>
        <v>9.3510000000000009</v>
      </c>
      <c r="M38" s="10">
        <f t="shared" si="4"/>
        <v>0.63949999999999996</v>
      </c>
      <c r="N38" s="10">
        <f t="shared" si="1"/>
        <v>57.554999999999993</v>
      </c>
      <c r="O38" s="10">
        <f t="shared" si="5"/>
        <v>0.25659999999999999</v>
      </c>
      <c r="P38" s="10">
        <f t="shared" si="2"/>
        <v>23.094000000000001</v>
      </c>
    </row>
    <row r="39" spans="2:16" ht="10.5" customHeight="1" x14ac:dyDescent="0.2">
      <c r="B39" s="39"/>
      <c r="C39" s="39"/>
      <c r="D39" s="39"/>
      <c r="E39" s="40" t="s">
        <v>43</v>
      </c>
      <c r="F39" s="40"/>
      <c r="G39" s="3" t="s">
        <v>16</v>
      </c>
      <c r="H39" s="36">
        <v>30</v>
      </c>
      <c r="I39" s="35">
        <v>25</v>
      </c>
      <c r="J39" s="35">
        <v>750</v>
      </c>
      <c r="K39" s="9">
        <f t="shared" si="3"/>
        <v>3.117</v>
      </c>
      <c r="L39" s="10">
        <f t="shared" si="0"/>
        <v>77.925000000000011</v>
      </c>
      <c r="M39" s="10">
        <f t="shared" si="4"/>
        <v>19.184999999999999</v>
      </c>
      <c r="N39" s="10">
        <f t="shared" si="1"/>
        <v>479.62499999999994</v>
      </c>
      <c r="O39" s="10">
        <f t="shared" si="5"/>
        <v>7.6979999999999995</v>
      </c>
      <c r="P39" s="10">
        <f t="shared" si="2"/>
        <v>192.45</v>
      </c>
    </row>
    <row r="40" spans="2:16" ht="10.5" customHeight="1" x14ac:dyDescent="0.2">
      <c r="B40" s="39"/>
      <c r="C40" s="39"/>
      <c r="D40" s="39"/>
      <c r="E40" s="48" t="s">
        <v>44</v>
      </c>
      <c r="F40" s="49"/>
      <c r="G40" s="3" t="s">
        <v>27</v>
      </c>
      <c r="H40" s="36">
        <v>19</v>
      </c>
      <c r="I40" s="35">
        <v>250</v>
      </c>
      <c r="J40" s="35">
        <v>4750</v>
      </c>
      <c r="K40" s="9">
        <f t="shared" si="3"/>
        <v>1.9741000000000002</v>
      </c>
      <c r="L40" s="10">
        <f t="shared" si="0"/>
        <v>493.52500000000003</v>
      </c>
      <c r="M40" s="10">
        <f t="shared" si="4"/>
        <v>12.150499999999999</v>
      </c>
      <c r="N40" s="10">
        <f t="shared" si="1"/>
        <v>3037.625</v>
      </c>
      <c r="O40" s="10">
        <f t="shared" si="5"/>
        <v>4.8754</v>
      </c>
      <c r="P40" s="10">
        <f t="shared" si="2"/>
        <v>1218.8499999999999</v>
      </c>
    </row>
    <row r="41" spans="2:16" ht="10.5" customHeight="1" x14ac:dyDescent="0.2">
      <c r="B41" s="39"/>
      <c r="C41" s="39"/>
      <c r="D41" s="39"/>
      <c r="E41" s="40" t="s">
        <v>45</v>
      </c>
      <c r="F41" s="40"/>
      <c r="G41" s="3" t="s">
        <v>16</v>
      </c>
      <c r="H41" s="36">
        <v>1</v>
      </c>
      <c r="I41" s="35">
        <v>180</v>
      </c>
      <c r="J41" s="35">
        <v>180</v>
      </c>
      <c r="K41" s="9">
        <f t="shared" si="3"/>
        <v>0.10390000000000001</v>
      </c>
      <c r="L41" s="10">
        <f t="shared" si="0"/>
        <v>18.702000000000002</v>
      </c>
      <c r="M41" s="10">
        <f t="shared" si="4"/>
        <v>0.63949999999999996</v>
      </c>
      <c r="N41" s="10">
        <f t="shared" si="1"/>
        <v>115.10999999999999</v>
      </c>
      <c r="O41" s="10">
        <f t="shared" si="5"/>
        <v>0.25659999999999999</v>
      </c>
      <c r="P41" s="10">
        <f t="shared" si="2"/>
        <v>46.188000000000002</v>
      </c>
    </row>
    <row r="42" spans="2:16" ht="10.5" customHeight="1" x14ac:dyDescent="0.2">
      <c r="B42" s="39"/>
      <c r="C42" s="39"/>
      <c r="D42" s="39"/>
      <c r="E42" s="40" t="s">
        <v>46</v>
      </c>
      <c r="F42" s="40"/>
      <c r="G42" s="3" t="s">
        <v>16</v>
      </c>
      <c r="H42" s="36">
        <v>42</v>
      </c>
      <c r="I42" s="35">
        <v>4</v>
      </c>
      <c r="J42" s="35">
        <v>168</v>
      </c>
      <c r="K42" s="9">
        <f t="shared" si="3"/>
        <v>4.3638000000000003</v>
      </c>
      <c r="L42" s="10">
        <f t="shared" si="0"/>
        <v>17.455200000000001</v>
      </c>
      <c r="M42" s="10">
        <f t="shared" si="4"/>
        <v>26.858999999999998</v>
      </c>
      <c r="N42" s="10">
        <f t="shared" si="1"/>
        <v>107.43599999999999</v>
      </c>
      <c r="O42" s="10">
        <f t="shared" si="5"/>
        <v>10.777200000000001</v>
      </c>
      <c r="P42" s="10">
        <f t="shared" si="2"/>
        <v>43.108800000000002</v>
      </c>
    </row>
    <row r="43" spans="2:16" ht="10.5" customHeight="1" x14ac:dyDescent="0.2">
      <c r="B43" s="39"/>
      <c r="C43" s="39"/>
      <c r="D43" s="39"/>
      <c r="E43" s="48" t="s">
        <v>47</v>
      </c>
      <c r="F43" s="49"/>
      <c r="G43" s="3" t="s">
        <v>16</v>
      </c>
      <c r="H43" s="36">
        <v>15</v>
      </c>
      <c r="I43" s="35">
        <v>28</v>
      </c>
      <c r="J43" s="35">
        <v>420</v>
      </c>
      <c r="K43" s="9">
        <f t="shared" si="3"/>
        <v>1.5585</v>
      </c>
      <c r="L43" s="10">
        <f t="shared" si="0"/>
        <v>43.638000000000005</v>
      </c>
      <c r="M43" s="10">
        <f t="shared" si="4"/>
        <v>9.5924999999999994</v>
      </c>
      <c r="N43" s="10">
        <f t="shared" si="1"/>
        <v>268.58999999999997</v>
      </c>
      <c r="O43" s="10">
        <f t="shared" si="5"/>
        <v>3.8489999999999998</v>
      </c>
      <c r="P43" s="10">
        <f t="shared" si="2"/>
        <v>107.77199999999999</v>
      </c>
    </row>
    <row r="44" spans="2:16" ht="10.5" customHeight="1" x14ac:dyDescent="0.2">
      <c r="B44" s="39"/>
      <c r="C44" s="39"/>
      <c r="D44" s="39"/>
      <c r="E44" s="40" t="s">
        <v>48</v>
      </c>
      <c r="F44" s="40"/>
      <c r="G44" s="3" t="s">
        <v>27</v>
      </c>
      <c r="H44" s="36">
        <v>57</v>
      </c>
      <c r="I44" s="35">
        <v>18</v>
      </c>
      <c r="J44" s="35">
        <v>1026</v>
      </c>
      <c r="K44" s="9">
        <f t="shared" si="3"/>
        <v>5.9223000000000008</v>
      </c>
      <c r="L44" s="10">
        <f t="shared" si="0"/>
        <v>106.60140000000001</v>
      </c>
      <c r="M44" s="10">
        <f t="shared" si="4"/>
        <v>36.451499999999996</v>
      </c>
      <c r="N44" s="10">
        <f t="shared" si="1"/>
        <v>656.12699999999995</v>
      </c>
      <c r="O44" s="10">
        <f t="shared" si="5"/>
        <v>14.626199999999999</v>
      </c>
      <c r="P44" s="10">
        <f t="shared" si="2"/>
        <v>263.27159999999998</v>
      </c>
    </row>
    <row r="45" spans="2:16" ht="10.5" customHeight="1" x14ac:dyDescent="0.2">
      <c r="B45" s="39"/>
      <c r="C45" s="39"/>
      <c r="D45" s="39"/>
      <c r="E45" s="40" t="s">
        <v>49</v>
      </c>
      <c r="F45" s="40"/>
      <c r="G45" s="3" t="s">
        <v>16</v>
      </c>
      <c r="H45" s="36">
        <v>72</v>
      </c>
      <c r="I45" s="35">
        <v>10</v>
      </c>
      <c r="J45" s="35">
        <v>720</v>
      </c>
      <c r="K45" s="9">
        <f t="shared" si="3"/>
        <v>7.4808000000000003</v>
      </c>
      <c r="L45" s="10">
        <f t="shared" si="0"/>
        <v>74.808000000000007</v>
      </c>
      <c r="M45" s="10">
        <f t="shared" si="4"/>
        <v>46.043999999999997</v>
      </c>
      <c r="N45" s="10">
        <f t="shared" si="1"/>
        <v>460.43999999999994</v>
      </c>
      <c r="O45" s="10">
        <f t="shared" si="5"/>
        <v>18.475200000000001</v>
      </c>
      <c r="P45" s="10">
        <f t="shared" si="2"/>
        <v>184.75200000000001</v>
      </c>
    </row>
    <row r="46" spans="2:16" ht="10.5" customHeight="1" x14ac:dyDescent="0.2">
      <c r="B46" s="39"/>
      <c r="C46" s="39"/>
      <c r="D46" s="39"/>
      <c r="E46" s="48" t="s">
        <v>50</v>
      </c>
      <c r="F46" s="49"/>
      <c r="G46" s="3" t="s">
        <v>16</v>
      </c>
      <c r="H46" s="36">
        <v>581.36</v>
      </c>
      <c r="I46" s="35">
        <v>1.7</v>
      </c>
      <c r="J46" s="35">
        <v>988.31</v>
      </c>
      <c r="K46" s="9">
        <f t="shared" si="3"/>
        <v>60.403304000000006</v>
      </c>
      <c r="L46" s="10">
        <f t="shared" si="0"/>
        <v>102.68540900000001</v>
      </c>
      <c r="M46" s="10">
        <f t="shared" si="4"/>
        <v>371.77972</v>
      </c>
      <c r="N46" s="10">
        <f t="shared" si="1"/>
        <v>632.02424499999995</v>
      </c>
      <c r="O46" s="10">
        <f t="shared" si="5"/>
        <v>149.176976</v>
      </c>
      <c r="P46" s="10">
        <f t="shared" si="2"/>
        <v>253.60034599999997</v>
      </c>
    </row>
    <row r="47" spans="2:16" ht="10.5" customHeight="1" x14ac:dyDescent="0.2">
      <c r="B47" s="39"/>
      <c r="C47" s="39"/>
      <c r="D47" s="39"/>
      <c r="E47" s="48" t="s">
        <v>51</v>
      </c>
      <c r="F47" s="49"/>
      <c r="G47" s="3" t="s">
        <v>16</v>
      </c>
      <c r="H47" s="36">
        <v>9170.0647000000008</v>
      </c>
      <c r="I47" s="35">
        <v>1.7</v>
      </c>
      <c r="J47" s="35">
        <v>15589.11</v>
      </c>
      <c r="K47" s="9">
        <f t="shared" si="3"/>
        <v>952.76972233000015</v>
      </c>
      <c r="L47" s="10">
        <f t="shared" si="0"/>
        <v>1619.7085290000002</v>
      </c>
      <c r="M47" s="10">
        <f t="shared" si="4"/>
        <v>5864.2563756500003</v>
      </c>
      <c r="N47" s="10">
        <f t="shared" si="1"/>
        <v>9969.2358449999992</v>
      </c>
      <c r="O47" s="10">
        <f t="shared" si="5"/>
        <v>2353.0386020200003</v>
      </c>
      <c r="P47" s="10">
        <f t="shared" si="2"/>
        <v>4000.165626</v>
      </c>
    </row>
    <row r="48" spans="2:16" ht="10.5" customHeight="1" x14ac:dyDescent="0.2">
      <c r="B48" s="39"/>
      <c r="C48" s="39"/>
      <c r="D48" s="39"/>
      <c r="E48" s="40" t="s">
        <v>52</v>
      </c>
      <c r="F48" s="40"/>
      <c r="G48" s="3" t="s">
        <v>16</v>
      </c>
      <c r="H48" s="36">
        <v>8279.68</v>
      </c>
      <c r="I48" s="35">
        <v>1</v>
      </c>
      <c r="J48" s="35">
        <v>8279.68</v>
      </c>
      <c r="K48" s="9">
        <f t="shared" si="3"/>
        <v>860.25875200000007</v>
      </c>
      <c r="L48" s="10">
        <f t="shared" si="0"/>
        <v>860.25875200000007</v>
      </c>
      <c r="M48" s="10">
        <f t="shared" si="4"/>
        <v>5294.8553599999996</v>
      </c>
      <c r="N48" s="10">
        <f t="shared" si="1"/>
        <v>5294.8553599999996</v>
      </c>
      <c r="O48" s="10">
        <f t="shared" si="5"/>
        <v>2124.5658880000001</v>
      </c>
      <c r="P48" s="10">
        <f t="shared" si="2"/>
        <v>2124.5658880000001</v>
      </c>
    </row>
    <row r="49" spans="2:16" ht="10.5" customHeight="1" x14ac:dyDescent="0.2">
      <c r="B49" s="39"/>
      <c r="C49" s="39"/>
      <c r="D49" s="39"/>
      <c r="E49" s="40" t="s">
        <v>53</v>
      </c>
      <c r="F49" s="40"/>
      <c r="G49" s="3" t="s">
        <v>54</v>
      </c>
      <c r="H49" s="36">
        <v>840.55830000000003</v>
      </c>
      <c r="I49" s="35">
        <v>33</v>
      </c>
      <c r="J49" s="35">
        <v>27738.42</v>
      </c>
      <c r="K49" s="9">
        <f t="shared" si="3"/>
        <v>87.334007370000009</v>
      </c>
      <c r="L49" s="10">
        <f t="shared" si="0"/>
        <v>2882.0218380000001</v>
      </c>
      <c r="M49" s="10">
        <f t="shared" si="4"/>
        <v>537.53703284999995</v>
      </c>
      <c r="N49" s="10">
        <f t="shared" si="1"/>
        <v>17738.719589999997</v>
      </c>
      <c r="O49" s="10">
        <f t="shared" si="5"/>
        <v>215.68725978000001</v>
      </c>
      <c r="P49" s="10">
        <f t="shared" si="2"/>
        <v>7117.6785719999998</v>
      </c>
    </row>
    <row r="50" spans="2:16" ht="10.5" customHeight="1" x14ac:dyDescent="0.2">
      <c r="B50" s="39"/>
      <c r="C50" s="39"/>
      <c r="D50" s="39"/>
      <c r="E50" s="40" t="s">
        <v>55</v>
      </c>
      <c r="F50" s="40"/>
      <c r="G50" s="3" t="s">
        <v>56</v>
      </c>
      <c r="H50" s="36">
        <v>3</v>
      </c>
      <c r="I50" s="35">
        <v>300</v>
      </c>
      <c r="J50" s="35">
        <v>900</v>
      </c>
      <c r="K50" s="9">
        <f t="shared" si="3"/>
        <v>0.31170000000000003</v>
      </c>
      <c r="L50" s="10">
        <f t="shared" si="0"/>
        <v>93.51</v>
      </c>
      <c r="M50" s="10">
        <f t="shared" si="4"/>
        <v>1.9184999999999999</v>
      </c>
      <c r="N50" s="10">
        <f t="shared" si="1"/>
        <v>575.54999999999995</v>
      </c>
      <c r="O50" s="10">
        <f t="shared" si="5"/>
        <v>0.76980000000000004</v>
      </c>
      <c r="P50" s="10">
        <f t="shared" si="2"/>
        <v>230.94</v>
      </c>
    </row>
    <row r="51" spans="2:16" ht="10.5" customHeight="1" x14ac:dyDescent="0.2">
      <c r="B51" s="39"/>
      <c r="C51" s="39"/>
      <c r="D51" s="39"/>
      <c r="E51" s="40" t="s">
        <v>57</v>
      </c>
      <c r="F51" s="40"/>
      <c r="G51" s="3" t="s">
        <v>16</v>
      </c>
      <c r="H51" s="36">
        <v>4</v>
      </c>
      <c r="I51" s="35">
        <v>20</v>
      </c>
      <c r="J51" s="35">
        <v>80</v>
      </c>
      <c r="K51" s="9">
        <f t="shared" si="3"/>
        <v>0.41560000000000002</v>
      </c>
      <c r="L51" s="10">
        <f t="shared" si="0"/>
        <v>8.3120000000000012</v>
      </c>
      <c r="M51" s="10">
        <f t="shared" si="4"/>
        <v>2.5579999999999998</v>
      </c>
      <c r="N51" s="10">
        <f t="shared" si="1"/>
        <v>51.16</v>
      </c>
      <c r="O51" s="10">
        <f t="shared" si="5"/>
        <v>1.0264</v>
      </c>
      <c r="P51" s="10">
        <f t="shared" si="2"/>
        <v>20.527999999999999</v>
      </c>
    </row>
    <row r="52" spans="2:16" ht="10.5" customHeight="1" x14ac:dyDescent="0.2">
      <c r="B52" s="39"/>
      <c r="C52" s="39"/>
      <c r="D52" s="39"/>
      <c r="E52" s="40" t="s">
        <v>58</v>
      </c>
      <c r="F52" s="40"/>
      <c r="G52" s="3" t="s">
        <v>16</v>
      </c>
      <c r="H52" s="36">
        <v>57</v>
      </c>
      <c r="I52" s="35">
        <v>16</v>
      </c>
      <c r="J52" s="35">
        <v>912</v>
      </c>
      <c r="K52" s="9">
        <f t="shared" si="3"/>
        <v>5.9223000000000008</v>
      </c>
      <c r="L52" s="10">
        <f t="shared" si="0"/>
        <v>94.756800000000013</v>
      </c>
      <c r="M52" s="10">
        <f t="shared" si="4"/>
        <v>36.451499999999996</v>
      </c>
      <c r="N52" s="10">
        <f t="shared" si="1"/>
        <v>583.22399999999993</v>
      </c>
      <c r="O52" s="10">
        <f t="shared" si="5"/>
        <v>14.626199999999999</v>
      </c>
      <c r="P52" s="10">
        <f t="shared" si="2"/>
        <v>234.01919999999998</v>
      </c>
    </row>
    <row r="53" spans="2:16" ht="10.5" customHeight="1" x14ac:dyDescent="0.2">
      <c r="B53" s="39"/>
      <c r="C53" s="39"/>
      <c r="D53" s="39"/>
      <c r="E53" s="40" t="s">
        <v>59</v>
      </c>
      <c r="F53" s="40"/>
      <c r="G53" s="3" t="s">
        <v>16</v>
      </c>
      <c r="H53" s="36">
        <v>12</v>
      </c>
      <c r="I53" s="35">
        <v>9</v>
      </c>
      <c r="J53" s="35">
        <v>108</v>
      </c>
      <c r="K53" s="9">
        <f t="shared" si="3"/>
        <v>1.2468000000000001</v>
      </c>
      <c r="L53" s="10">
        <f t="shared" si="0"/>
        <v>11.221200000000001</v>
      </c>
      <c r="M53" s="10">
        <f t="shared" si="4"/>
        <v>7.6739999999999995</v>
      </c>
      <c r="N53" s="10">
        <f t="shared" si="1"/>
        <v>69.066000000000003</v>
      </c>
      <c r="O53" s="10">
        <f t="shared" si="5"/>
        <v>3.0792000000000002</v>
      </c>
      <c r="P53" s="10">
        <f t="shared" si="2"/>
        <v>27.712799999999998</v>
      </c>
    </row>
    <row r="54" spans="2:16" ht="10.5" customHeight="1" x14ac:dyDescent="0.2">
      <c r="B54" s="39"/>
      <c r="C54" s="39"/>
      <c r="D54" s="39"/>
      <c r="E54" s="40" t="s">
        <v>60</v>
      </c>
      <c r="F54" s="40"/>
      <c r="G54" s="3" t="s">
        <v>16</v>
      </c>
      <c r="H54" s="36">
        <v>19</v>
      </c>
      <c r="I54" s="35">
        <v>5</v>
      </c>
      <c r="J54" s="35">
        <v>95</v>
      </c>
      <c r="K54" s="9">
        <f t="shared" si="3"/>
        <v>1.9741000000000002</v>
      </c>
      <c r="L54" s="10">
        <f t="shared" si="0"/>
        <v>9.8704999999999998</v>
      </c>
      <c r="M54" s="10">
        <f t="shared" si="4"/>
        <v>12.150499999999999</v>
      </c>
      <c r="N54" s="10">
        <f t="shared" si="1"/>
        <v>60.752499999999998</v>
      </c>
      <c r="O54" s="10">
        <f t="shared" si="5"/>
        <v>4.8754</v>
      </c>
      <c r="P54" s="10">
        <f t="shared" si="2"/>
        <v>24.376999999999999</v>
      </c>
    </row>
    <row r="55" spans="2:16" ht="10.5" customHeight="1" x14ac:dyDescent="0.2">
      <c r="B55" s="39"/>
      <c r="C55" s="39"/>
      <c r="D55" s="39"/>
      <c r="E55" s="40" t="s">
        <v>61</v>
      </c>
      <c r="F55" s="40"/>
      <c r="G55" s="3" t="s">
        <v>16</v>
      </c>
      <c r="H55" s="36">
        <v>1</v>
      </c>
      <c r="I55" s="35">
        <v>45</v>
      </c>
      <c r="J55" s="35">
        <v>45</v>
      </c>
      <c r="K55" s="9">
        <f t="shared" si="3"/>
        <v>0.10390000000000001</v>
      </c>
      <c r="L55" s="10">
        <f t="shared" si="0"/>
        <v>4.6755000000000004</v>
      </c>
      <c r="M55" s="10">
        <f t="shared" si="4"/>
        <v>0.63949999999999996</v>
      </c>
      <c r="N55" s="10">
        <f t="shared" si="1"/>
        <v>28.777499999999996</v>
      </c>
      <c r="O55" s="10">
        <f t="shared" si="5"/>
        <v>0.25659999999999999</v>
      </c>
      <c r="P55" s="10">
        <f t="shared" si="2"/>
        <v>11.547000000000001</v>
      </c>
    </row>
    <row r="56" spans="2:16" ht="10.5" customHeight="1" x14ac:dyDescent="0.2">
      <c r="B56" s="39"/>
      <c r="C56" s="39"/>
      <c r="D56" s="39"/>
      <c r="E56" s="40" t="s">
        <v>62</v>
      </c>
      <c r="F56" s="40"/>
      <c r="G56" s="3" t="s">
        <v>16</v>
      </c>
      <c r="H56" s="36">
        <v>2</v>
      </c>
      <c r="I56" s="35">
        <v>9</v>
      </c>
      <c r="J56" s="35">
        <v>18</v>
      </c>
      <c r="K56" s="9">
        <f t="shared" si="3"/>
        <v>0.20780000000000001</v>
      </c>
      <c r="L56" s="10">
        <f t="shared" si="0"/>
        <v>1.8702000000000001</v>
      </c>
      <c r="M56" s="10">
        <f t="shared" si="4"/>
        <v>1.2789999999999999</v>
      </c>
      <c r="N56" s="10">
        <f t="shared" si="1"/>
        <v>11.510999999999999</v>
      </c>
      <c r="O56" s="10">
        <f t="shared" si="5"/>
        <v>0.51319999999999999</v>
      </c>
      <c r="P56" s="10">
        <f t="shared" si="2"/>
        <v>4.6188000000000002</v>
      </c>
    </row>
    <row r="57" spans="2:16" ht="10.5" customHeight="1" x14ac:dyDescent="0.2">
      <c r="B57" s="39"/>
      <c r="C57" s="39"/>
      <c r="D57" s="39"/>
      <c r="E57" s="40" t="s">
        <v>63</v>
      </c>
      <c r="F57" s="40"/>
      <c r="G57" s="3" t="s">
        <v>14</v>
      </c>
      <c r="H57" s="36">
        <v>1</v>
      </c>
      <c r="I57" s="35">
        <v>540</v>
      </c>
      <c r="J57" s="35">
        <v>540</v>
      </c>
      <c r="K57" s="9">
        <f t="shared" si="3"/>
        <v>0.10390000000000001</v>
      </c>
      <c r="L57" s="10">
        <f t="shared" si="0"/>
        <v>56.106000000000002</v>
      </c>
      <c r="M57" s="10">
        <f t="shared" si="4"/>
        <v>0.63949999999999996</v>
      </c>
      <c r="N57" s="10">
        <f t="shared" si="1"/>
        <v>345.33</v>
      </c>
      <c r="O57" s="10">
        <f t="shared" si="5"/>
        <v>0.25659999999999999</v>
      </c>
      <c r="P57" s="10">
        <f t="shared" si="2"/>
        <v>138.56399999999999</v>
      </c>
    </row>
    <row r="58" spans="2:16" ht="10.5" customHeight="1" x14ac:dyDescent="0.2">
      <c r="B58" s="39"/>
      <c r="C58" s="39"/>
      <c r="D58" s="39"/>
      <c r="E58" s="40" t="s">
        <v>64</v>
      </c>
      <c r="F58" s="40"/>
      <c r="G58" s="3" t="s">
        <v>65</v>
      </c>
      <c r="H58" s="36">
        <v>3.5594999999999999</v>
      </c>
      <c r="I58" s="35">
        <v>14.5</v>
      </c>
      <c r="J58" s="35">
        <v>51.61</v>
      </c>
      <c r="K58" s="9">
        <f t="shared" si="3"/>
        <v>0.36983205000000002</v>
      </c>
      <c r="L58" s="10">
        <f t="shared" si="0"/>
        <v>5.362279</v>
      </c>
      <c r="M58" s="10">
        <f t="shared" si="4"/>
        <v>2.2763002499999998</v>
      </c>
      <c r="N58" s="10">
        <f t="shared" si="1"/>
        <v>33.004594999999995</v>
      </c>
      <c r="O58" s="10">
        <f t="shared" si="5"/>
        <v>0.9133677</v>
      </c>
      <c r="P58" s="10">
        <f t="shared" si="2"/>
        <v>13.243126</v>
      </c>
    </row>
    <row r="59" spans="2:16" ht="10.5" customHeight="1" x14ac:dyDescent="0.2">
      <c r="B59" s="39"/>
      <c r="C59" s="39"/>
      <c r="D59" s="39"/>
      <c r="E59" s="40" t="s">
        <v>66</v>
      </c>
      <c r="F59" s="40"/>
      <c r="G59" s="3" t="s">
        <v>54</v>
      </c>
      <c r="H59" s="36">
        <v>44.456600000000002</v>
      </c>
      <c r="I59" s="35">
        <v>18</v>
      </c>
      <c r="J59" s="35">
        <v>800.22</v>
      </c>
      <c r="K59" s="9">
        <f t="shared" si="3"/>
        <v>4.6190407400000009</v>
      </c>
      <c r="L59" s="10">
        <f t="shared" si="0"/>
        <v>83.142858000000004</v>
      </c>
      <c r="M59" s="10">
        <f t="shared" si="4"/>
        <v>28.429995699999999</v>
      </c>
      <c r="N59" s="10">
        <f t="shared" si="1"/>
        <v>511.74068999999997</v>
      </c>
      <c r="O59" s="10">
        <f t="shared" si="5"/>
        <v>11.40756356</v>
      </c>
      <c r="P59" s="10">
        <f t="shared" si="2"/>
        <v>205.33645200000001</v>
      </c>
    </row>
    <row r="60" spans="2:16" ht="10.5" customHeight="1" x14ac:dyDescent="0.2">
      <c r="B60" s="39"/>
      <c r="C60" s="39"/>
      <c r="D60" s="39"/>
      <c r="E60" s="40" t="s">
        <v>67</v>
      </c>
      <c r="F60" s="40"/>
      <c r="G60" s="3" t="s">
        <v>38</v>
      </c>
      <c r="H60" s="36">
        <v>15.54</v>
      </c>
      <c r="I60" s="35">
        <v>16.5</v>
      </c>
      <c r="J60" s="35">
        <v>256.41000000000003</v>
      </c>
      <c r="K60" s="9">
        <f t="shared" si="3"/>
        <v>1.614606</v>
      </c>
      <c r="L60" s="10">
        <f t="shared" si="0"/>
        <v>26.640999000000004</v>
      </c>
      <c r="M60" s="10">
        <f t="shared" si="4"/>
        <v>9.9378299999999982</v>
      </c>
      <c r="N60" s="10">
        <f t="shared" si="1"/>
        <v>163.97419500000001</v>
      </c>
      <c r="O60" s="10">
        <f t="shared" si="5"/>
        <v>3.9875639999999999</v>
      </c>
      <c r="P60" s="10">
        <f t="shared" si="2"/>
        <v>65.794806000000008</v>
      </c>
    </row>
    <row r="61" spans="2:16" ht="10.5" customHeight="1" x14ac:dyDescent="0.2">
      <c r="B61" s="39"/>
      <c r="C61" s="39"/>
      <c r="D61" s="39"/>
      <c r="E61" s="40" t="s">
        <v>68</v>
      </c>
      <c r="F61" s="40"/>
      <c r="G61" s="3" t="s">
        <v>23</v>
      </c>
      <c r="H61" s="36">
        <v>0.78149999999999997</v>
      </c>
      <c r="I61" s="35">
        <v>14</v>
      </c>
      <c r="J61" s="35">
        <v>10.94</v>
      </c>
      <c r="K61" s="9">
        <f t="shared" si="3"/>
        <v>8.1197850000000002E-2</v>
      </c>
      <c r="L61" s="10">
        <f t="shared" si="0"/>
        <v>1.136666</v>
      </c>
      <c r="M61" s="10">
        <f t="shared" si="4"/>
        <v>0.49976924999999994</v>
      </c>
      <c r="N61" s="10">
        <f t="shared" si="1"/>
        <v>6.9961299999999991</v>
      </c>
      <c r="O61" s="10">
        <f t="shared" si="5"/>
        <v>0.20053289999999999</v>
      </c>
      <c r="P61" s="10">
        <f t="shared" si="2"/>
        <v>2.807204</v>
      </c>
    </row>
    <row r="62" spans="2:16" ht="10.5" customHeight="1" x14ac:dyDescent="0.2">
      <c r="B62" s="39"/>
      <c r="C62" s="39"/>
      <c r="D62" s="39"/>
      <c r="E62" s="40" t="s">
        <v>69</v>
      </c>
      <c r="F62" s="40"/>
      <c r="G62" s="3" t="s">
        <v>30</v>
      </c>
      <c r="H62" s="36">
        <v>1.5449999999999999</v>
      </c>
      <c r="I62" s="35">
        <v>220</v>
      </c>
      <c r="J62" s="35">
        <v>339.9</v>
      </c>
      <c r="K62" s="9">
        <f t="shared" si="3"/>
        <v>0.16052550000000002</v>
      </c>
      <c r="L62" s="10">
        <f t="shared" si="0"/>
        <v>35.31561</v>
      </c>
      <c r="M62" s="10">
        <f t="shared" si="4"/>
        <v>0.98802749999999984</v>
      </c>
      <c r="N62" s="10">
        <f t="shared" si="1"/>
        <v>217.36604999999997</v>
      </c>
      <c r="O62" s="10">
        <f t="shared" si="5"/>
        <v>0.39644699999999999</v>
      </c>
      <c r="P62" s="10">
        <f t="shared" si="2"/>
        <v>87.218339999999998</v>
      </c>
    </row>
    <row r="63" spans="2:16" ht="10.5" customHeight="1" x14ac:dyDescent="0.2">
      <c r="B63" s="39"/>
      <c r="C63" s="39"/>
      <c r="D63" s="39"/>
      <c r="E63" s="48" t="s">
        <v>70</v>
      </c>
      <c r="F63" s="49"/>
      <c r="G63" s="3" t="s">
        <v>16</v>
      </c>
      <c r="H63" s="36">
        <v>1</v>
      </c>
      <c r="I63" s="35">
        <v>500</v>
      </c>
      <c r="J63" s="35">
        <v>500</v>
      </c>
      <c r="K63" s="9">
        <f t="shared" si="3"/>
        <v>0.10390000000000001</v>
      </c>
      <c r="L63" s="10">
        <f t="shared" si="0"/>
        <v>51.95</v>
      </c>
      <c r="M63" s="10">
        <f t="shared" si="4"/>
        <v>0.63949999999999996</v>
      </c>
      <c r="N63" s="10">
        <f t="shared" si="1"/>
        <v>319.75</v>
      </c>
      <c r="O63" s="10">
        <f t="shared" si="5"/>
        <v>0.25659999999999999</v>
      </c>
      <c r="P63" s="10">
        <f t="shared" si="2"/>
        <v>128.30000000000001</v>
      </c>
    </row>
    <row r="64" spans="2:16" ht="10.5" customHeight="1" x14ac:dyDescent="0.2">
      <c r="B64" s="39"/>
      <c r="C64" s="39"/>
      <c r="D64" s="39"/>
      <c r="E64" s="40" t="s">
        <v>71</v>
      </c>
      <c r="F64" s="40"/>
      <c r="G64" s="3" t="s">
        <v>23</v>
      </c>
      <c r="H64" s="36">
        <v>13.101800000000001</v>
      </c>
      <c r="I64" s="35">
        <v>24</v>
      </c>
      <c r="J64" s="35">
        <v>314.44</v>
      </c>
      <c r="K64" s="9">
        <f t="shared" si="3"/>
        <v>1.3612770200000002</v>
      </c>
      <c r="L64" s="10">
        <f t="shared" si="0"/>
        <v>32.670316</v>
      </c>
      <c r="M64" s="10">
        <f t="shared" si="4"/>
        <v>8.3786010999999991</v>
      </c>
      <c r="N64" s="10">
        <f t="shared" si="1"/>
        <v>201.08437999999998</v>
      </c>
      <c r="O64" s="10">
        <f t="shared" si="5"/>
        <v>3.3619218800000001</v>
      </c>
      <c r="P64" s="10">
        <f t="shared" si="2"/>
        <v>80.685304000000002</v>
      </c>
    </row>
    <row r="65" spans="2:16" ht="10.5" customHeight="1" x14ac:dyDescent="0.2">
      <c r="B65" s="39"/>
      <c r="C65" s="39"/>
      <c r="D65" s="39"/>
      <c r="E65" s="40" t="s">
        <v>72</v>
      </c>
      <c r="F65" s="40"/>
      <c r="G65" s="3" t="s">
        <v>16</v>
      </c>
      <c r="H65" s="36">
        <v>17.28</v>
      </c>
      <c r="I65" s="35">
        <v>7</v>
      </c>
      <c r="J65" s="35">
        <v>120.96</v>
      </c>
      <c r="K65" s="9">
        <f t="shared" si="3"/>
        <v>1.7953920000000003</v>
      </c>
      <c r="L65" s="10">
        <f t="shared" si="0"/>
        <v>12.567743999999999</v>
      </c>
      <c r="M65" s="10">
        <f t="shared" si="4"/>
        <v>11.050560000000001</v>
      </c>
      <c r="N65" s="10">
        <f t="shared" si="1"/>
        <v>77.353919999999988</v>
      </c>
      <c r="O65" s="10">
        <f t="shared" si="5"/>
        <v>4.4340479999999998</v>
      </c>
      <c r="P65" s="10">
        <f t="shared" si="2"/>
        <v>31.038335999999997</v>
      </c>
    </row>
    <row r="66" spans="2:16" ht="10.5" customHeight="1" x14ac:dyDescent="0.2">
      <c r="B66" s="39"/>
      <c r="C66" s="39"/>
      <c r="D66" s="39"/>
      <c r="E66" s="48" t="s">
        <v>73</v>
      </c>
      <c r="F66" s="49"/>
      <c r="G66" s="3" t="s">
        <v>16</v>
      </c>
      <c r="H66" s="36">
        <v>13</v>
      </c>
      <c r="I66" s="35">
        <v>1350</v>
      </c>
      <c r="J66" s="35">
        <v>17550</v>
      </c>
      <c r="K66" s="9">
        <f t="shared" si="3"/>
        <v>1.3507</v>
      </c>
      <c r="L66" s="10">
        <f t="shared" si="0"/>
        <v>1823.4450000000002</v>
      </c>
      <c r="M66" s="10">
        <f t="shared" si="4"/>
        <v>8.3134999999999994</v>
      </c>
      <c r="N66" s="10">
        <f t="shared" si="1"/>
        <v>11223.224999999999</v>
      </c>
      <c r="O66" s="10">
        <f t="shared" si="5"/>
        <v>3.3357999999999999</v>
      </c>
      <c r="P66" s="10">
        <f t="shared" si="2"/>
        <v>4503.33</v>
      </c>
    </row>
    <row r="67" spans="2:16" ht="10.5" customHeight="1" x14ac:dyDescent="0.2">
      <c r="B67" s="39"/>
      <c r="C67" s="39"/>
      <c r="D67" s="39"/>
      <c r="E67" s="40" t="s">
        <v>74</v>
      </c>
      <c r="F67" s="40"/>
      <c r="G67" s="3" t="s">
        <v>16</v>
      </c>
      <c r="H67" s="36">
        <v>1</v>
      </c>
      <c r="I67" s="35">
        <v>500</v>
      </c>
      <c r="J67" s="35">
        <v>500</v>
      </c>
      <c r="K67" s="9">
        <f t="shared" si="3"/>
        <v>0.10390000000000001</v>
      </c>
      <c r="L67" s="10">
        <f t="shared" si="0"/>
        <v>51.95</v>
      </c>
      <c r="M67" s="10">
        <f t="shared" si="4"/>
        <v>0.63949999999999996</v>
      </c>
      <c r="N67" s="10">
        <f t="shared" si="1"/>
        <v>319.75</v>
      </c>
      <c r="O67" s="10">
        <f t="shared" si="5"/>
        <v>0.25659999999999999</v>
      </c>
      <c r="P67" s="10">
        <f t="shared" si="2"/>
        <v>128.30000000000001</v>
      </c>
    </row>
    <row r="68" spans="2:16" ht="10.5" customHeight="1" x14ac:dyDescent="0.2">
      <c r="B68" s="39"/>
      <c r="C68" s="39"/>
      <c r="D68" s="39"/>
      <c r="E68" s="48" t="s">
        <v>75</v>
      </c>
      <c r="F68" s="49"/>
      <c r="G68" s="3" t="s">
        <v>16</v>
      </c>
      <c r="H68" s="36">
        <v>17</v>
      </c>
      <c r="I68" s="35">
        <v>350</v>
      </c>
      <c r="J68" s="35">
        <v>5950</v>
      </c>
      <c r="K68" s="9">
        <f t="shared" si="3"/>
        <v>1.7663000000000002</v>
      </c>
      <c r="L68" s="10">
        <f t="shared" si="0"/>
        <v>618.20500000000004</v>
      </c>
      <c r="M68" s="10">
        <f t="shared" si="4"/>
        <v>10.871499999999999</v>
      </c>
      <c r="N68" s="10">
        <f t="shared" si="1"/>
        <v>3805.0249999999996</v>
      </c>
      <c r="O68" s="10">
        <f t="shared" si="5"/>
        <v>4.3621999999999996</v>
      </c>
      <c r="P68" s="10">
        <f t="shared" si="2"/>
        <v>1526.77</v>
      </c>
    </row>
    <row r="69" spans="2:16" ht="10.5" customHeight="1" x14ac:dyDescent="0.2">
      <c r="B69" s="39"/>
      <c r="C69" s="39"/>
      <c r="D69" s="39"/>
      <c r="E69" s="48" t="s">
        <v>76</v>
      </c>
      <c r="F69" s="49"/>
      <c r="G69" s="3" t="s">
        <v>16</v>
      </c>
      <c r="H69" s="36">
        <v>2</v>
      </c>
      <c r="I69" s="35">
        <v>320</v>
      </c>
      <c r="J69" s="35">
        <v>640</v>
      </c>
      <c r="K69" s="9">
        <f t="shared" si="3"/>
        <v>0.20780000000000001</v>
      </c>
      <c r="L69" s="10">
        <f t="shared" si="0"/>
        <v>66.496000000000009</v>
      </c>
      <c r="M69" s="10">
        <f t="shared" si="4"/>
        <v>1.2789999999999999</v>
      </c>
      <c r="N69" s="10">
        <f t="shared" si="1"/>
        <v>409.28</v>
      </c>
      <c r="O69" s="10">
        <f t="shared" si="5"/>
        <v>0.51319999999999999</v>
      </c>
      <c r="P69" s="10">
        <f t="shared" si="2"/>
        <v>164.22399999999999</v>
      </c>
    </row>
    <row r="70" spans="2:16" ht="10.5" customHeight="1" x14ac:dyDescent="0.2">
      <c r="B70" s="39"/>
      <c r="C70" s="39"/>
      <c r="D70" s="39"/>
      <c r="E70" s="48" t="s">
        <v>77</v>
      </c>
      <c r="F70" s="49"/>
      <c r="G70" s="3" t="s">
        <v>16</v>
      </c>
      <c r="H70" s="36">
        <v>2</v>
      </c>
      <c r="I70" s="35">
        <v>1850</v>
      </c>
      <c r="J70" s="35">
        <v>3700</v>
      </c>
      <c r="K70" s="9">
        <f t="shared" si="3"/>
        <v>0.20780000000000001</v>
      </c>
      <c r="L70" s="10">
        <f t="shared" si="0"/>
        <v>384.43</v>
      </c>
      <c r="M70" s="10">
        <f t="shared" si="4"/>
        <v>1.2789999999999999</v>
      </c>
      <c r="N70" s="10">
        <f t="shared" si="1"/>
        <v>2366.1499999999996</v>
      </c>
      <c r="O70" s="10">
        <f t="shared" si="5"/>
        <v>0.51319999999999999</v>
      </c>
      <c r="P70" s="10">
        <f t="shared" si="2"/>
        <v>949.42</v>
      </c>
    </row>
    <row r="71" spans="2:16" ht="10.5" customHeight="1" x14ac:dyDescent="0.2">
      <c r="B71" s="39"/>
      <c r="C71" s="39"/>
      <c r="D71" s="39"/>
      <c r="E71" s="48" t="s">
        <v>78</v>
      </c>
      <c r="F71" s="49"/>
      <c r="G71" s="3" t="s">
        <v>16</v>
      </c>
      <c r="H71" s="36">
        <v>4</v>
      </c>
      <c r="I71" s="35">
        <v>4.24</v>
      </c>
      <c r="J71" s="35">
        <v>16.96</v>
      </c>
      <c r="K71" s="9">
        <f t="shared" si="3"/>
        <v>0.41560000000000002</v>
      </c>
      <c r="L71" s="10">
        <f t="shared" si="0"/>
        <v>1.7621440000000002</v>
      </c>
      <c r="M71" s="10">
        <f t="shared" si="4"/>
        <v>2.5579999999999998</v>
      </c>
      <c r="N71" s="10">
        <f t="shared" si="1"/>
        <v>10.84592</v>
      </c>
      <c r="O71" s="10">
        <f t="shared" si="5"/>
        <v>1.0264</v>
      </c>
      <c r="P71" s="10">
        <f t="shared" si="2"/>
        <v>4.3519360000000002</v>
      </c>
    </row>
    <row r="72" spans="2:16" ht="10.5" customHeight="1" x14ac:dyDescent="0.2">
      <c r="B72" s="39"/>
      <c r="C72" s="39"/>
      <c r="D72" s="39"/>
      <c r="E72" s="40" t="s">
        <v>79</v>
      </c>
      <c r="F72" s="40"/>
      <c r="G72" s="3" t="s">
        <v>16</v>
      </c>
      <c r="H72" s="36">
        <v>36</v>
      </c>
      <c r="I72" s="35">
        <v>12</v>
      </c>
      <c r="J72" s="35">
        <v>432</v>
      </c>
      <c r="K72" s="9">
        <f t="shared" si="3"/>
        <v>3.7404000000000002</v>
      </c>
      <c r="L72" s="10">
        <f t="shared" si="0"/>
        <v>44.884800000000006</v>
      </c>
      <c r="M72" s="10">
        <f t="shared" si="4"/>
        <v>23.021999999999998</v>
      </c>
      <c r="N72" s="10">
        <f t="shared" si="1"/>
        <v>276.26400000000001</v>
      </c>
      <c r="O72" s="10">
        <f t="shared" si="5"/>
        <v>9.2376000000000005</v>
      </c>
      <c r="P72" s="10">
        <f t="shared" si="2"/>
        <v>110.85119999999999</v>
      </c>
    </row>
    <row r="73" spans="2:16" ht="10.5" customHeight="1" x14ac:dyDescent="0.2">
      <c r="B73" s="39"/>
      <c r="C73" s="39"/>
      <c r="D73" s="39"/>
      <c r="E73" s="40" t="s">
        <v>80</v>
      </c>
      <c r="F73" s="40"/>
      <c r="G73" s="3" t="s">
        <v>30</v>
      </c>
      <c r="H73" s="36">
        <v>18.6785</v>
      </c>
      <c r="I73" s="35">
        <v>35</v>
      </c>
      <c r="J73" s="35">
        <v>653.75</v>
      </c>
      <c r="K73" s="9">
        <f t="shared" si="3"/>
        <v>1.9406961500000002</v>
      </c>
      <c r="L73" s="10">
        <f t="shared" si="0"/>
        <v>67.924625000000006</v>
      </c>
      <c r="M73" s="10">
        <f t="shared" si="4"/>
        <v>11.944900749999999</v>
      </c>
      <c r="N73" s="10">
        <f t="shared" si="1"/>
        <v>418.07312499999995</v>
      </c>
      <c r="O73" s="10">
        <f t="shared" si="5"/>
        <v>4.7929031000000002</v>
      </c>
      <c r="P73" s="10">
        <f t="shared" si="2"/>
        <v>167.75225</v>
      </c>
    </row>
    <row r="74" spans="2:16" ht="10.5" customHeight="1" x14ac:dyDescent="0.2">
      <c r="B74" s="39"/>
      <c r="C74" s="39"/>
      <c r="D74" s="39"/>
      <c r="E74" s="40" t="s">
        <v>81</v>
      </c>
      <c r="F74" s="40"/>
      <c r="G74" s="3" t="s">
        <v>30</v>
      </c>
      <c r="H74" s="36">
        <v>4.3E-3</v>
      </c>
      <c r="I74" s="35">
        <v>54</v>
      </c>
      <c r="J74" s="35">
        <v>0.23</v>
      </c>
      <c r="K74" s="9">
        <f t="shared" si="3"/>
        <v>4.4677000000000003E-4</v>
      </c>
      <c r="L74" s="10">
        <f t="shared" si="0"/>
        <v>2.3897000000000002E-2</v>
      </c>
      <c r="M74" s="10">
        <f t="shared" si="4"/>
        <v>2.7498499999999999E-3</v>
      </c>
      <c r="N74" s="10">
        <f t="shared" si="1"/>
        <v>0.14708499999999999</v>
      </c>
      <c r="O74" s="10">
        <f t="shared" si="5"/>
        <v>1.1033799999999999E-3</v>
      </c>
      <c r="P74" s="10">
        <f t="shared" si="2"/>
        <v>5.9018000000000001E-2</v>
      </c>
    </row>
    <row r="75" spans="2:16" ht="10.5" customHeight="1" x14ac:dyDescent="0.2">
      <c r="B75" s="39"/>
      <c r="C75" s="39"/>
      <c r="D75" s="39"/>
      <c r="E75" s="40" t="s">
        <v>82</v>
      </c>
      <c r="F75" s="40"/>
      <c r="G75" s="3" t="s">
        <v>30</v>
      </c>
      <c r="H75" s="36">
        <v>0.10920000000000001</v>
      </c>
      <c r="I75" s="35">
        <v>110</v>
      </c>
      <c r="J75" s="35">
        <v>12.01</v>
      </c>
      <c r="K75" s="9">
        <f t="shared" si="3"/>
        <v>1.1345880000000001E-2</v>
      </c>
      <c r="L75" s="10">
        <f t="shared" si="0"/>
        <v>1.2478390000000001</v>
      </c>
      <c r="M75" s="10">
        <f t="shared" si="4"/>
        <v>6.9833400000000004E-2</v>
      </c>
      <c r="N75" s="10">
        <f t="shared" si="1"/>
        <v>7.680394999999999</v>
      </c>
      <c r="O75" s="10">
        <f t="shared" si="5"/>
        <v>2.8020720000000002E-2</v>
      </c>
      <c r="P75" s="10">
        <f t="shared" si="2"/>
        <v>3.081766</v>
      </c>
    </row>
    <row r="76" spans="2:16" ht="10.5" customHeight="1" x14ac:dyDescent="0.2">
      <c r="B76" s="39"/>
      <c r="C76" s="39"/>
      <c r="D76" s="39"/>
      <c r="E76" s="40" t="s">
        <v>83</v>
      </c>
      <c r="F76" s="40"/>
      <c r="G76" s="3" t="s">
        <v>23</v>
      </c>
      <c r="H76" s="36">
        <v>17.792999999999999</v>
      </c>
      <c r="I76" s="35">
        <v>30</v>
      </c>
      <c r="J76" s="35">
        <v>533.79</v>
      </c>
      <c r="K76" s="9">
        <f t="shared" si="3"/>
        <v>1.8486927</v>
      </c>
      <c r="L76" s="10">
        <f t="shared" si="0"/>
        <v>55.460780999999997</v>
      </c>
      <c r="M76" s="10">
        <f t="shared" si="4"/>
        <v>11.378623499999998</v>
      </c>
      <c r="N76" s="10">
        <f t="shared" si="1"/>
        <v>341.35870499999993</v>
      </c>
      <c r="O76" s="10">
        <f t="shared" si="5"/>
        <v>4.5656837999999995</v>
      </c>
      <c r="P76" s="10">
        <f t="shared" si="2"/>
        <v>136.97051399999998</v>
      </c>
    </row>
    <row r="77" spans="2:16" ht="10.5" customHeight="1" x14ac:dyDescent="0.2">
      <c r="B77" s="39"/>
      <c r="C77" s="39"/>
      <c r="D77" s="39"/>
      <c r="E77" s="40" t="s">
        <v>84</v>
      </c>
      <c r="F77" s="40"/>
      <c r="G77" s="3" t="s">
        <v>16</v>
      </c>
      <c r="H77" s="36">
        <v>1</v>
      </c>
      <c r="I77" s="35">
        <v>15</v>
      </c>
      <c r="J77" s="35">
        <v>15</v>
      </c>
      <c r="K77" s="9">
        <f t="shared" si="3"/>
        <v>0.10390000000000001</v>
      </c>
      <c r="L77" s="10">
        <f t="shared" si="0"/>
        <v>1.5585</v>
      </c>
      <c r="M77" s="10">
        <f t="shared" si="4"/>
        <v>0.63949999999999996</v>
      </c>
      <c r="N77" s="10">
        <f t="shared" si="1"/>
        <v>9.5924999999999994</v>
      </c>
      <c r="O77" s="10">
        <f t="shared" si="5"/>
        <v>0.25659999999999999</v>
      </c>
      <c r="P77" s="10">
        <f t="shared" si="2"/>
        <v>3.8489999999999998</v>
      </c>
    </row>
    <row r="78" spans="2:16" ht="10.5" customHeight="1" x14ac:dyDescent="0.2">
      <c r="B78" s="39"/>
      <c r="C78" s="39"/>
      <c r="D78" s="39"/>
      <c r="E78" s="40" t="s">
        <v>85</v>
      </c>
      <c r="F78" s="40"/>
      <c r="G78" s="3" t="s">
        <v>30</v>
      </c>
      <c r="H78" s="36">
        <v>1.8527</v>
      </c>
      <c r="I78" s="35">
        <v>15</v>
      </c>
      <c r="J78" s="35">
        <v>27.79</v>
      </c>
      <c r="K78" s="9">
        <f t="shared" si="3"/>
        <v>0.19249553000000003</v>
      </c>
      <c r="L78" s="10">
        <f t="shared" si="0"/>
        <v>2.887381</v>
      </c>
      <c r="M78" s="10">
        <f t="shared" si="4"/>
        <v>1.18480165</v>
      </c>
      <c r="N78" s="10">
        <f t="shared" si="1"/>
        <v>17.771704999999997</v>
      </c>
      <c r="O78" s="10">
        <f t="shared" si="5"/>
        <v>0.47540282</v>
      </c>
      <c r="P78" s="10">
        <f t="shared" si="2"/>
        <v>7.1309139999999998</v>
      </c>
    </row>
    <row r="79" spans="2:16" ht="10.5" customHeight="1" x14ac:dyDescent="0.2">
      <c r="B79" s="39"/>
      <c r="C79" s="39"/>
      <c r="D79" s="39"/>
      <c r="E79" s="40" t="s">
        <v>86</v>
      </c>
      <c r="F79" s="40"/>
      <c r="G79" s="3" t="s">
        <v>30</v>
      </c>
      <c r="H79" s="36">
        <v>31.7517</v>
      </c>
      <c r="I79" s="35">
        <v>48</v>
      </c>
      <c r="J79" s="35">
        <v>1524.08</v>
      </c>
      <c r="K79" s="9">
        <f t="shared" si="3"/>
        <v>3.2990016300000002</v>
      </c>
      <c r="L79" s="10">
        <f t="shared" si="0"/>
        <v>158.351912</v>
      </c>
      <c r="M79" s="10">
        <f t="shared" si="4"/>
        <v>20.305212149999999</v>
      </c>
      <c r="N79" s="10">
        <f t="shared" si="1"/>
        <v>974.64915999999994</v>
      </c>
      <c r="O79" s="10">
        <f t="shared" si="5"/>
        <v>8.1474862199999993</v>
      </c>
      <c r="P79" s="10">
        <f t="shared" si="2"/>
        <v>391.07892799999996</v>
      </c>
    </row>
    <row r="80" spans="2:16" ht="10.5" customHeight="1" x14ac:dyDescent="0.2">
      <c r="B80" s="39"/>
      <c r="C80" s="39"/>
      <c r="D80" s="39"/>
      <c r="E80" s="48" t="s">
        <v>87</v>
      </c>
      <c r="F80" s="49"/>
      <c r="G80" s="3" t="s">
        <v>14</v>
      </c>
      <c r="H80" s="36">
        <v>1</v>
      </c>
      <c r="I80" s="35">
        <v>5097.96</v>
      </c>
      <c r="J80" s="35">
        <v>5097.96</v>
      </c>
      <c r="K80" s="9">
        <f t="shared" si="3"/>
        <v>0.10390000000000001</v>
      </c>
      <c r="L80" s="10">
        <f t="shared" si="0"/>
        <v>529.678044</v>
      </c>
      <c r="M80" s="10">
        <f t="shared" si="4"/>
        <v>0.63949999999999996</v>
      </c>
      <c r="N80" s="10">
        <f t="shared" si="1"/>
        <v>3260.1454199999998</v>
      </c>
      <c r="O80" s="10">
        <f t="shared" si="5"/>
        <v>0.25659999999999999</v>
      </c>
      <c r="P80" s="10">
        <f t="shared" si="2"/>
        <v>1308.136536</v>
      </c>
    </row>
    <row r="81" spans="2:16" ht="10.5" customHeight="1" x14ac:dyDescent="0.2">
      <c r="B81" s="39"/>
      <c r="C81" s="39"/>
      <c r="D81" s="39"/>
      <c r="E81" s="48" t="s">
        <v>88</v>
      </c>
      <c r="F81" s="49"/>
      <c r="G81" s="3" t="s">
        <v>14</v>
      </c>
      <c r="H81" s="36">
        <v>1</v>
      </c>
      <c r="I81" s="35">
        <v>15785.53</v>
      </c>
      <c r="J81" s="35">
        <v>15785.53</v>
      </c>
      <c r="K81" s="9">
        <f t="shared" si="3"/>
        <v>0.10390000000000001</v>
      </c>
      <c r="L81" s="10">
        <f t="shared" ref="L81:L144" si="6">J81*$K$8</f>
        <v>1640.1165670000003</v>
      </c>
      <c r="M81" s="10">
        <f t="shared" si="4"/>
        <v>0.63949999999999996</v>
      </c>
      <c r="N81" s="10">
        <f t="shared" ref="N81:N144" si="7">J81*$M$8</f>
        <v>10094.846434999999</v>
      </c>
      <c r="O81" s="10">
        <f t="shared" si="5"/>
        <v>0.25659999999999999</v>
      </c>
      <c r="P81" s="10">
        <f t="shared" ref="P81:P144" si="8">J81*$O$8</f>
        <v>4050.5669980000002</v>
      </c>
    </row>
    <row r="82" spans="2:16" ht="10.5" customHeight="1" x14ac:dyDescent="0.2">
      <c r="B82" s="39"/>
      <c r="C82" s="39"/>
      <c r="D82" s="39"/>
      <c r="E82" s="48" t="s">
        <v>89</v>
      </c>
      <c r="F82" s="49"/>
      <c r="G82" s="3" t="s">
        <v>14</v>
      </c>
      <c r="H82" s="36">
        <v>1</v>
      </c>
      <c r="I82" s="35">
        <v>13828.97</v>
      </c>
      <c r="J82" s="35">
        <v>13828.97</v>
      </c>
      <c r="K82" s="9">
        <f t="shared" ref="K82:K145" si="9">H82*$K$8</f>
        <v>0.10390000000000001</v>
      </c>
      <c r="L82" s="10">
        <f t="shared" si="6"/>
        <v>1436.8299830000001</v>
      </c>
      <c r="M82" s="10">
        <f t="shared" ref="M82:M145" si="10">H82*$M$8</f>
        <v>0.63949999999999996</v>
      </c>
      <c r="N82" s="10">
        <f t="shared" si="7"/>
        <v>8843.6263149999995</v>
      </c>
      <c r="O82" s="10">
        <f t="shared" ref="O82:O145" si="11">H82*$O$8</f>
        <v>0.25659999999999999</v>
      </c>
      <c r="P82" s="10">
        <f t="shared" si="8"/>
        <v>3548.5137019999997</v>
      </c>
    </row>
    <row r="83" spans="2:16" ht="10.5" customHeight="1" x14ac:dyDescent="0.2">
      <c r="B83" s="39"/>
      <c r="C83" s="39"/>
      <c r="D83" s="39"/>
      <c r="E83" s="48" t="s">
        <v>90</v>
      </c>
      <c r="F83" s="49"/>
      <c r="G83" s="3" t="s">
        <v>14</v>
      </c>
      <c r="H83" s="36">
        <v>1</v>
      </c>
      <c r="I83" s="35">
        <v>2183</v>
      </c>
      <c r="J83" s="35">
        <v>2183</v>
      </c>
      <c r="K83" s="9">
        <f t="shared" si="9"/>
        <v>0.10390000000000001</v>
      </c>
      <c r="L83" s="10">
        <f t="shared" si="6"/>
        <v>226.81370000000001</v>
      </c>
      <c r="M83" s="10">
        <f t="shared" si="10"/>
        <v>0.63949999999999996</v>
      </c>
      <c r="N83" s="10">
        <f t="shared" si="7"/>
        <v>1396.0284999999999</v>
      </c>
      <c r="O83" s="10">
        <f t="shared" si="11"/>
        <v>0.25659999999999999</v>
      </c>
      <c r="P83" s="10">
        <f t="shared" si="8"/>
        <v>560.15779999999995</v>
      </c>
    </row>
    <row r="84" spans="2:16" ht="10.5" customHeight="1" x14ac:dyDescent="0.2">
      <c r="B84" s="39"/>
      <c r="C84" s="39"/>
      <c r="D84" s="39"/>
      <c r="E84" s="40" t="s">
        <v>91</v>
      </c>
      <c r="F84" s="40"/>
      <c r="G84" s="3" t="s">
        <v>32</v>
      </c>
      <c r="H84" s="36">
        <v>54.683999999999997</v>
      </c>
      <c r="I84" s="35">
        <v>113.56</v>
      </c>
      <c r="J84" s="35">
        <v>6209.92</v>
      </c>
      <c r="K84" s="9">
        <f t="shared" si="9"/>
        <v>5.6816675999999999</v>
      </c>
      <c r="L84" s="10">
        <f t="shared" si="6"/>
        <v>645.210688</v>
      </c>
      <c r="M84" s="10">
        <f t="shared" si="10"/>
        <v>34.970417999999995</v>
      </c>
      <c r="N84" s="10">
        <f t="shared" si="7"/>
        <v>3971.2438399999996</v>
      </c>
      <c r="O84" s="10">
        <f t="shared" si="11"/>
        <v>14.0319144</v>
      </c>
      <c r="P84" s="10">
        <f t="shared" si="8"/>
        <v>1593.4654720000001</v>
      </c>
    </row>
    <row r="85" spans="2:16" ht="10.5" customHeight="1" x14ac:dyDescent="0.2">
      <c r="B85" s="39"/>
      <c r="C85" s="39"/>
      <c r="D85" s="39"/>
      <c r="E85" s="40" t="s">
        <v>92</v>
      </c>
      <c r="F85" s="40"/>
      <c r="G85" s="3" t="s">
        <v>32</v>
      </c>
      <c r="H85" s="36">
        <v>36.323</v>
      </c>
      <c r="I85" s="35">
        <v>105.08</v>
      </c>
      <c r="J85" s="35">
        <v>3816.82</v>
      </c>
      <c r="K85" s="9">
        <f t="shared" si="9"/>
        <v>3.7739597000000003</v>
      </c>
      <c r="L85" s="10">
        <f t="shared" si="6"/>
        <v>396.56759800000003</v>
      </c>
      <c r="M85" s="10">
        <f t="shared" si="10"/>
        <v>23.228558499999998</v>
      </c>
      <c r="N85" s="10">
        <f t="shared" si="7"/>
        <v>2440.8563899999999</v>
      </c>
      <c r="O85" s="10">
        <f t="shared" si="11"/>
        <v>9.3204817999999996</v>
      </c>
      <c r="P85" s="10">
        <f t="shared" si="8"/>
        <v>979.39601200000004</v>
      </c>
    </row>
    <row r="86" spans="2:16" ht="10.5" customHeight="1" x14ac:dyDescent="0.2">
      <c r="B86" s="39"/>
      <c r="C86" s="39"/>
      <c r="D86" s="39"/>
      <c r="E86" s="40" t="s">
        <v>93</v>
      </c>
      <c r="F86" s="40"/>
      <c r="G86" s="3" t="s">
        <v>32</v>
      </c>
      <c r="H86" s="36">
        <v>2.6989999999999998</v>
      </c>
      <c r="I86" s="35">
        <v>113.56</v>
      </c>
      <c r="J86" s="35">
        <v>306.5</v>
      </c>
      <c r="K86" s="9">
        <f t="shared" si="9"/>
        <v>0.28042610000000001</v>
      </c>
      <c r="L86" s="10">
        <f t="shared" si="6"/>
        <v>31.845350000000003</v>
      </c>
      <c r="M86" s="10">
        <f t="shared" si="10"/>
        <v>1.7260104999999999</v>
      </c>
      <c r="N86" s="10">
        <f t="shared" si="7"/>
        <v>196.00674999999998</v>
      </c>
      <c r="O86" s="10">
        <f t="shared" si="11"/>
        <v>0.69256339999999994</v>
      </c>
      <c r="P86" s="10">
        <f t="shared" si="8"/>
        <v>78.647899999999993</v>
      </c>
    </row>
    <row r="87" spans="2:16" ht="10.5" customHeight="1" x14ac:dyDescent="0.2">
      <c r="B87" s="39"/>
      <c r="C87" s="39"/>
      <c r="D87" s="39"/>
      <c r="E87" s="40" t="s">
        <v>94</v>
      </c>
      <c r="F87" s="40"/>
      <c r="G87" s="3" t="s">
        <v>32</v>
      </c>
      <c r="H87" s="36">
        <v>0.55649999999999999</v>
      </c>
      <c r="I87" s="35">
        <v>113.56</v>
      </c>
      <c r="J87" s="35">
        <v>63.2</v>
      </c>
      <c r="K87" s="9">
        <f t="shared" si="9"/>
        <v>5.782035E-2</v>
      </c>
      <c r="L87" s="10">
        <f t="shared" si="6"/>
        <v>6.5664800000000003</v>
      </c>
      <c r="M87" s="10">
        <f t="shared" si="10"/>
        <v>0.35588175</v>
      </c>
      <c r="N87" s="10">
        <f t="shared" si="7"/>
        <v>40.416399999999996</v>
      </c>
      <c r="O87" s="10">
        <f t="shared" si="11"/>
        <v>0.14279790000000001</v>
      </c>
      <c r="P87" s="10">
        <f t="shared" si="8"/>
        <v>16.217120000000001</v>
      </c>
    </row>
    <row r="88" spans="2:16" ht="10.5" customHeight="1" x14ac:dyDescent="0.2">
      <c r="B88" s="39"/>
      <c r="C88" s="39"/>
      <c r="D88" s="39"/>
      <c r="E88" s="40" t="s">
        <v>95</v>
      </c>
      <c r="F88" s="40"/>
      <c r="G88" s="3" t="s">
        <v>16</v>
      </c>
      <c r="H88" s="36">
        <v>44.662799999999997</v>
      </c>
      <c r="I88" s="35">
        <v>3.5</v>
      </c>
      <c r="J88" s="35">
        <v>156.32</v>
      </c>
      <c r="K88" s="9">
        <f t="shared" si="9"/>
        <v>4.6404649200000003</v>
      </c>
      <c r="L88" s="10">
        <f t="shared" si="6"/>
        <v>16.241648000000001</v>
      </c>
      <c r="M88" s="10">
        <f t="shared" si="10"/>
        <v>28.561860599999996</v>
      </c>
      <c r="N88" s="10">
        <f t="shared" si="7"/>
        <v>99.966639999999984</v>
      </c>
      <c r="O88" s="10">
        <f t="shared" si="11"/>
        <v>11.460474479999998</v>
      </c>
      <c r="P88" s="10">
        <f t="shared" si="8"/>
        <v>40.111711999999997</v>
      </c>
    </row>
    <row r="89" spans="2:16" ht="10.5" customHeight="1" x14ac:dyDescent="0.2">
      <c r="B89" s="39"/>
      <c r="C89" s="39"/>
      <c r="D89" s="39"/>
      <c r="E89" s="40" t="s">
        <v>96</v>
      </c>
      <c r="F89" s="40"/>
      <c r="G89" s="3" t="s">
        <v>32</v>
      </c>
      <c r="H89" s="36">
        <v>173.07499999999999</v>
      </c>
      <c r="I89" s="35">
        <v>2</v>
      </c>
      <c r="J89" s="35">
        <v>346.15</v>
      </c>
      <c r="K89" s="9">
        <f t="shared" si="9"/>
        <v>17.982492499999999</v>
      </c>
      <c r="L89" s="10">
        <f t="shared" si="6"/>
        <v>35.964984999999999</v>
      </c>
      <c r="M89" s="10">
        <f t="shared" si="10"/>
        <v>110.68146249999998</v>
      </c>
      <c r="N89" s="10">
        <f t="shared" si="7"/>
        <v>221.36292499999996</v>
      </c>
      <c r="O89" s="10">
        <f t="shared" si="11"/>
        <v>44.411044999999994</v>
      </c>
      <c r="P89" s="10">
        <f t="shared" si="8"/>
        <v>88.822089999999989</v>
      </c>
    </row>
    <row r="90" spans="2:16" ht="10.5" customHeight="1" x14ac:dyDescent="0.2">
      <c r="B90" s="39"/>
      <c r="C90" s="39"/>
      <c r="D90" s="39"/>
      <c r="E90" s="40" t="s">
        <v>97</v>
      </c>
      <c r="F90" s="40"/>
      <c r="G90" s="3" t="s">
        <v>16</v>
      </c>
      <c r="H90" s="36">
        <v>20</v>
      </c>
      <c r="I90" s="35">
        <v>2</v>
      </c>
      <c r="J90" s="35">
        <v>40</v>
      </c>
      <c r="K90" s="9">
        <f t="shared" si="9"/>
        <v>2.0780000000000003</v>
      </c>
      <c r="L90" s="10">
        <f t="shared" si="6"/>
        <v>4.1560000000000006</v>
      </c>
      <c r="M90" s="10">
        <f t="shared" si="10"/>
        <v>12.79</v>
      </c>
      <c r="N90" s="10">
        <f t="shared" si="7"/>
        <v>25.58</v>
      </c>
      <c r="O90" s="10">
        <f t="shared" si="11"/>
        <v>5.1319999999999997</v>
      </c>
      <c r="P90" s="10">
        <f t="shared" si="8"/>
        <v>10.263999999999999</v>
      </c>
    </row>
    <row r="91" spans="2:16" ht="10.5" customHeight="1" x14ac:dyDescent="0.2">
      <c r="B91" s="39"/>
      <c r="C91" s="39"/>
      <c r="D91" s="39"/>
      <c r="E91" s="40" t="s">
        <v>98</v>
      </c>
      <c r="F91" s="40"/>
      <c r="G91" s="3" t="s">
        <v>23</v>
      </c>
      <c r="H91" s="36">
        <v>0.2</v>
      </c>
      <c r="I91" s="35">
        <v>12.5</v>
      </c>
      <c r="J91" s="35">
        <v>2.5</v>
      </c>
      <c r="K91" s="9">
        <f t="shared" si="9"/>
        <v>2.0780000000000003E-2</v>
      </c>
      <c r="L91" s="10">
        <f t="shared" si="6"/>
        <v>0.25975000000000004</v>
      </c>
      <c r="M91" s="10">
        <f t="shared" si="10"/>
        <v>0.12789999999999999</v>
      </c>
      <c r="N91" s="10">
        <f t="shared" si="7"/>
        <v>1.5987499999999999</v>
      </c>
      <c r="O91" s="10">
        <f t="shared" si="11"/>
        <v>5.1320000000000005E-2</v>
      </c>
      <c r="P91" s="10">
        <f t="shared" si="8"/>
        <v>0.64149999999999996</v>
      </c>
    </row>
    <row r="92" spans="2:16" ht="10.5" customHeight="1" x14ac:dyDescent="0.2">
      <c r="B92" s="39"/>
      <c r="C92" s="39"/>
      <c r="D92" s="39"/>
      <c r="E92" s="48" t="s">
        <v>99</v>
      </c>
      <c r="F92" s="49"/>
      <c r="G92" s="3" t="s">
        <v>16</v>
      </c>
      <c r="H92" s="36">
        <v>1</v>
      </c>
      <c r="I92" s="35">
        <v>350</v>
      </c>
      <c r="J92" s="35">
        <v>350</v>
      </c>
      <c r="K92" s="9">
        <f t="shared" si="9"/>
        <v>0.10390000000000001</v>
      </c>
      <c r="L92" s="10">
        <f t="shared" si="6"/>
        <v>36.365000000000002</v>
      </c>
      <c r="M92" s="10">
        <f t="shared" si="10"/>
        <v>0.63949999999999996</v>
      </c>
      <c r="N92" s="10">
        <f t="shared" si="7"/>
        <v>223.82499999999999</v>
      </c>
      <c r="O92" s="10">
        <f t="shared" si="11"/>
        <v>0.25659999999999999</v>
      </c>
      <c r="P92" s="10">
        <f t="shared" si="8"/>
        <v>89.81</v>
      </c>
    </row>
    <row r="93" spans="2:16" ht="10.5" customHeight="1" x14ac:dyDescent="0.2">
      <c r="B93" s="39"/>
      <c r="C93" s="39"/>
      <c r="D93" s="39"/>
      <c r="E93" s="40" t="s">
        <v>100</v>
      </c>
      <c r="F93" s="40"/>
      <c r="G93" s="3" t="s">
        <v>101</v>
      </c>
      <c r="H93" s="36">
        <v>5</v>
      </c>
      <c r="I93" s="35">
        <v>15</v>
      </c>
      <c r="J93" s="35">
        <v>75</v>
      </c>
      <c r="K93" s="9">
        <f t="shared" si="9"/>
        <v>0.51950000000000007</v>
      </c>
      <c r="L93" s="10">
        <f t="shared" si="6"/>
        <v>7.7925000000000004</v>
      </c>
      <c r="M93" s="10">
        <f t="shared" si="10"/>
        <v>3.1974999999999998</v>
      </c>
      <c r="N93" s="10">
        <f t="shared" si="7"/>
        <v>47.962499999999999</v>
      </c>
      <c r="O93" s="10">
        <f t="shared" si="11"/>
        <v>1.2829999999999999</v>
      </c>
      <c r="P93" s="10">
        <f t="shared" si="8"/>
        <v>19.245000000000001</v>
      </c>
    </row>
    <row r="94" spans="2:16" ht="10.5" customHeight="1" x14ac:dyDescent="0.2">
      <c r="B94" s="39"/>
      <c r="C94" s="39"/>
      <c r="D94" s="39"/>
      <c r="E94" s="40" t="s">
        <v>102</v>
      </c>
      <c r="F94" s="40"/>
      <c r="G94" s="3" t="s">
        <v>16</v>
      </c>
      <c r="H94" s="36">
        <v>1</v>
      </c>
      <c r="I94" s="35">
        <v>296</v>
      </c>
      <c r="J94" s="35">
        <v>296</v>
      </c>
      <c r="K94" s="9">
        <f t="shared" si="9"/>
        <v>0.10390000000000001</v>
      </c>
      <c r="L94" s="10">
        <f t="shared" si="6"/>
        <v>30.7544</v>
      </c>
      <c r="M94" s="10">
        <f t="shared" si="10"/>
        <v>0.63949999999999996</v>
      </c>
      <c r="N94" s="10">
        <f t="shared" si="7"/>
        <v>189.29199999999997</v>
      </c>
      <c r="O94" s="10">
        <f t="shared" si="11"/>
        <v>0.25659999999999999</v>
      </c>
      <c r="P94" s="10">
        <f t="shared" si="8"/>
        <v>75.953599999999994</v>
      </c>
    </row>
    <row r="95" spans="2:16" ht="10.5" customHeight="1" x14ac:dyDescent="0.2">
      <c r="B95" s="39"/>
      <c r="C95" s="39"/>
      <c r="D95" s="39"/>
      <c r="E95" s="40" t="s">
        <v>103</v>
      </c>
      <c r="F95" s="40"/>
      <c r="G95" s="3" t="s">
        <v>30</v>
      </c>
      <c r="H95" s="36">
        <v>2.4434999999999998</v>
      </c>
      <c r="I95" s="35">
        <v>45</v>
      </c>
      <c r="J95" s="35">
        <v>109.96</v>
      </c>
      <c r="K95" s="9">
        <f t="shared" si="9"/>
        <v>0.25387965000000001</v>
      </c>
      <c r="L95" s="10">
        <f t="shared" si="6"/>
        <v>11.424844</v>
      </c>
      <c r="M95" s="10">
        <f t="shared" si="10"/>
        <v>1.5626182499999997</v>
      </c>
      <c r="N95" s="10">
        <f t="shared" si="7"/>
        <v>70.319419999999994</v>
      </c>
      <c r="O95" s="10">
        <f t="shared" si="11"/>
        <v>0.6270020999999999</v>
      </c>
      <c r="P95" s="10">
        <f t="shared" si="8"/>
        <v>28.215735999999996</v>
      </c>
    </row>
    <row r="96" spans="2:16" ht="10.5" customHeight="1" x14ac:dyDescent="0.2">
      <c r="B96" s="39"/>
      <c r="C96" s="39"/>
      <c r="D96" s="39"/>
      <c r="E96" s="40" t="s">
        <v>104</v>
      </c>
      <c r="F96" s="40"/>
      <c r="G96" s="3" t="s">
        <v>30</v>
      </c>
      <c r="H96" s="36">
        <v>5.0869999999999997</v>
      </c>
      <c r="I96" s="35">
        <v>350</v>
      </c>
      <c r="J96" s="35">
        <v>1780.45</v>
      </c>
      <c r="K96" s="9">
        <f t="shared" si="9"/>
        <v>0.52853930000000005</v>
      </c>
      <c r="L96" s="10">
        <f t="shared" si="6"/>
        <v>184.98875500000003</v>
      </c>
      <c r="M96" s="10">
        <f t="shared" si="10"/>
        <v>3.2531364999999997</v>
      </c>
      <c r="N96" s="10">
        <f t="shared" si="7"/>
        <v>1138.597775</v>
      </c>
      <c r="O96" s="10">
        <f t="shared" si="11"/>
        <v>1.3053241999999998</v>
      </c>
      <c r="P96" s="10">
        <f t="shared" si="8"/>
        <v>456.86347000000001</v>
      </c>
    </row>
    <row r="97" spans="2:16" ht="10.5" customHeight="1" x14ac:dyDescent="0.2">
      <c r="B97" s="39"/>
      <c r="C97" s="39"/>
      <c r="D97" s="39"/>
      <c r="E97" s="40" t="s">
        <v>105</v>
      </c>
      <c r="F97" s="40"/>
      <c r="G97" s="3" t="s">
        <v>30</v>
      </c>
      <c r="H97" s="36">
        <v>1.9548000000000001</v>
      </c>
      <c r="I97" s="35">
        <v>250</v>
      </c>
      <c r="J97" s="35">
        <v>488.7</v>
      </c>
      <c r="K97" s="9">
        <f t="shared" si="9"/>
        <v>0.20310372000000002</v>
      </c>
      <c r="L97" s="10">
        <f t="shared" si="6"/>
        <v>50.775930000000002</v>
      </c>
      <c r="M97" s="10">
        <f t="shared" si="10"/>
        <v>1.2500945999999999</v>
      </c>
      <c r="N97" s="10">
        <f t="shared" si="7"/>
        <v>312.52364999999998</v>
      </c>
      <c r="O97" s="10">
        <f t="shared" si="11"/>
        <v>0.50160168000000005</v>
      </c>
      <c r="P97" s="10">
        <f t="shared" si="8"/>
        <v>125.40042</v>
      </c>
    </row>
    <row r="98" spans="2:16" ht="10.5" customHeight="1" x14ac:dyDescent="0.2">
      <c r="B98" s="39"/>
      <c r="C98" s="39"/>
      <c r="D98" s="39"/>
      <c r="E98" s="40" t="s">
        <v>106</v>
      </c>
      <c r="F98" s="40"/>
      <c r="G98" s="3" t="s">
        <v>16</v>
      </c>
      <c r="H98" s="36">
        <v>1</v>
      </c>
      <c r="I98" s="35">
        <v>180</v>
      </c>
      <c r="J98" s="35">
        <v>180</v>
      </c>
      <c r="K98" s="9">
        <f t="shared" si="9"/>
        <v>0.10390000000000001</v>
      </c>
      <c r="L98" s="10">
        <f t="shared" si="6"/>
        <v>18.702000000000002</v>
      </c>
      <c r="M98" s="10">
        <f t="shared" si="10"/>
        <v>0.63949999999999996</v>
      </c>
      <c r="N98" s="10">
        <f t="shared" si="7"/>
        <v>115.10999999999999</v>
      </c>
      <c r="O98" s="10">
        <f t="shared" si="11"/>
        <v>0.25659999999999999</v>
      </c>
      <c r="P98" s="10">
        <f t="shared" si="8"/>
        <v>46.188000000000002</v>
      </c>
    </row>
    <row r="99" spans="2:16" ht="10.5" customHeight="1" x14ac:dyDescent="0.2">
      <c r="B99" s="39"/>
      <c r="C99" s="39"/>
      <c r="D99" s="39"/>
      <c r="E99" s="40" t="s">
        <v>107</v>
      </c>
      <c r="F99" s="40"/>
      <c r="G99" s="3" t="s">
        <v>16</v>
      </c>
      <c r="H99" s="36">
        <v>8</v>
      </c>
      <c r="I99" s="35">
        <v>3.5</v>
      </c>
      <c r="J99" s="35">
        <v>28</v>
      </c>
      <c r="K99" s="9">
        <f t="shared" si="9"/>
        <v>0.83120000000000005</v>
      </c>
      <c r="L99" s="10">
        <f t="shared" si="6"/>
        <v>2.9092000000000002</v>
      </c>
      <c r="M99" s="10">
        <f t="shared" si="10"/>
        <v>5.1159999999999997</v>
      </c>
      <c r="N99" s="10">
        <f t="shared" si="7"/>
        <v>17.905999999999999</v>
      </c>
      <c r="O99" s="10">
        <f t="shared" si="11"/>
        <v>2.0528</v>
      </c>
      <c r="P99" s="10">
        <f t="shared" si="8"/>
        <v>7.1848000000000001</v>
      </c>
    </row>
    <row r="100" spans="2:16" ht="10.5" customHeight="1" x14ac:dyDescent="0.2">
      <c r="B100" s="39"/>
      <c r="C100" s="39"/>
      <c r="D100" s="39"/>
      <c r="E100" s="40" t="s">
        <v>108</v>
      </c>
      <c r="F100" s="40"/>
      <c r="G100" s="3" t="s">
        <v>16</v>
      </c>
      <c r="H100" s="36">
        <v>8</v>
      </c>
      <c r="I100" s="35">
        <v>15</v>
      </c>
      <c r="J100" s="35">
        <v>120</v>
      </c>
      <c r="K100" s="9">
        <f t="shared" si="9"/>
        <v>0.83120000000000005</v>
      </c>
      <c r="L100" s="10">
        <f t="shared" si="6"/>
        <v>12.468</v>
      </c>
      <c r="M100" s="10">
        <f t="shared" si="10"/>
        <v>5.1159999999999997</v>
      </c>
      <c r="N100" s="10">
        <f t="shared" si="7"/>
        <v>76.739999999999995</v>
      </c>
      <c r="O100" s="10">
        <f t="shared" si="11"/>
        <v>2.0528</v>
      </c>
      <c r="P100" s="10">
        <f t="shared" si="8"/>
        <v>30.791999999999998</v>
      </c>
    </row>
    <row r="101" spans="2:16" ht="10.5" customHeight="1" x14ac:dyDescent="0.2">
      <c r="B101" s="39"/>
      <c r="C101" s="39"/>
      <c r="D101" s="39"/>
      <c r="E101" s="40" t="s">
        <v>109</v>
      </c>
      <c r="F101" s="40"/>
      <c r="G101" s="3" t="s">
        <v>110</v>
      </c>
      <c r="H101" s="36">
        <v>5</v>
      </c>
      <c r="I101" s="35">
        <v>59</v>
      </c>
      <c r="J101" s="35">
        <v>295</v>
      </c>
      <c r="K101" s="9">
        <f t="shared" si="9"/>
        <v>0.51950000000000007</v>
      </c>
      <c r="L101" s="10">
        <f t="shared" si="6"/>
        <v>30.650500000000001</v>
      </c>
      <c r="M101" s="10">
        <f t="shared" si="10"/>
        <v>3.1974999999999998</v>
      </c>
      <c r="N101" s="10">
        <f t="shared" si="7"/>
        <v>188.65249999999997</v>
      </c>
      <c r="O101" s="10">
        <f t="shared" si="11"/>
        <v>1.2829999999999999</v>
      </c>
      <c r="P101" s="10">
        <f t="shared" si="8"/>
        <v>75.697000000000003</v>
      </c>
    </row>
    <row r="102" spans="2:16" ht="10.5" customHeight="1" x14ac:dyDescent="0.2">
      <c r="B102" s="39"/>
      <c r="C102" s="39"/>
      <c r="D102" s="39"/>
      <c r="E102" s="48" t="s">
        <v>111</v>
      </c>
      <c r="F102" s="49"/>
      <c r="G102" s="3" t="s">
        <v>110</v>
      </c>
      <c r="H102" s="36">
        <v>5</v>
      </c>
      <c r="I102" s="35">
        <v>21</v>
      </c>
      <c r="J102" s="35">
        <v>105</v>
      </c>
      <c r="K102" s="9">
        <f t="shared" si="9"/>
        <v>0.51950000000000007</v>
      </c>
      <c r="L102" s="10">
        <f t="shared" si="6"/>
        <v>10.909500000000001</v>
      </c>
      <c r="M102" s="10">
        <f t="shared" si="10"/>
        <v>3.1974999999999998</v>
      </c>
      <c r="N102" s="10">
        <f t="shared" si="7"/>
        <v>67.147499999999994</v>
      </c>
      <c r="O102" s="10">
        <f t="shared" si="11"/>
        <v>1.2829999999999999</v>
      </c>
      <c r="P102" s="10">
        <f t="shared" si="8"/>
        <v>26.942999999999998</v>
      </c>
    </row>
    <row r="103" spans="2:16" ht="10.5" customHeight="1" x14ac:dyDescent="0.2">
      <c r="B103" s="39"/>
      <c r="C103" s="39"/>
      <c r="D103" s="39"/>
      <c r="E103" s="48" t="s">
        <v>112</v>
      </c>
      <c r="F103" s="49"/>
      <c r="G103" s="3" t="s">
        <v>38</v>
      </c>
      <c r="H103" s="36">
        <v>1000</v>
      </c>
      <c r="I103" s="35">
        <v>0.17</v>
      </c>
      <c r="J103" s="35">
        <v>170</v>
      </c>
      <c r="K103" s="9">
        <f t="shared" si="9"/>
        <v>103.9</v>
      </c>
      <c r="L103" s="10">
        <f t="shared" si="6"/>
        <v>17.663</v>
      </c>
      <c r="M103" s="10">
        <f t="shared" si="10"/>
        <v>639.5</v>
      </c>
      <c r="N103" s="10">
        <f t="shared" si="7"/>
        <v>108.71499999999999</v>
      </c>
      <c r="O103" s="10">
        <f t="shared" si="11"/>
        <v>256.60000000000002</v>
      </c>
      <c r="P103" s="10">
        <f t="shared" si="8"/>
        <v>43.622</v>
      </c>
    </row>
    <row r="104" spans="2:16" ht="10.5" customHeight="1" x14ac:dyDescent="0.2">
      <c r="B104" s="39"/>
      <c r="C104" s="39"/>
      <c r="D104" s="39"/>
      <c r="E104" s="40" t="s">
        <v>113</v>
      </c>
      <c r="F104" s="40"/>
      <c r="G104" s="3" t="s">
        <v>16</v>
      </c>
      <c r="H104" s="36">
        <v>30</v>
      </c>
      <c r="I104" s="35">
        <v>12</v>
      </c>
      <c r="J104" s="35">
        <v>360</v>
      </c>
      <c r="K104" s="9">
        <f t="shared" si="9"/>
        <v>3.117</v>
      </c>
      <c r="L104" s="10">
        <f t="shared" si="6"/>
        <v>37.404000000000003</v>
      </c>
      <c r="M104" s="10">
        <f t="shared" si="10"/>
        <v>19.184999999999999</v>
      </c>
      <c r="N104" s="10">
        <f t="shared" si="7"/>
        <v>230.21999999999997</v>
      </c>
      <c r="O104" s="10">
        <f t="shared" si="11"/>
        <v>7.6979999999999995</v>
      </c>
      <c r="P104" s="10">
        <f t="shared" si="8"/>
        <v>92.376000000000005</v>
      </c>
    </row>
    <row r="105" spans="2:16" ht="10.5" customHeight="1" x14ac:dyDescent="0.2">
      <c r="B105" s="39"/>
      <c r="C105" s="39"/>
      <c r="D105" s="39"/>
      <c r="E105" s="40" t="s">
        <v>114</v>
      </c>
      <c r="F105" s="40"/>
      <c r="G105" s="3" t="s">
        <v>16</v>
      </c>
      <c r="H105" s="36">
        <v>3</v>
      </c>
      <c r="I105" s="35">
        <v>1</v>
      </c>
      <c r="J105" s="35">
        <v>3</v>
      </c>
      <c r="K105" s="9">
        <f t="shared" si="9"/>
        <v>0.31170000000000003</v>
      </c>
      <c r="L105" s="10">
        <f t="shared" si="6"/>
        <v>0.31170000000000003</v>
      </c>
      <c r="M105" s="10">
        <f t="shared" si="10"/>
        <v>1.9184999999999999</v>
      </c>
      <c r="N105" s="10">
        <f t="shared" si="7"/>
        <v>1.9184999999999999</v>
      </c>
      <c r="O105" s="10">
        <f t="shared" si="11"/>
        <v>0.76980000000000004</v>
      </c>
      <c r="P105" s="10">
        <f t="shared" si="8"/>
        <v>0.76980000000000004</v>
      </c>
    </row>
    <row r="106" spans="2:16" ht="10.5" customHeight="1" x14ac:dyDescent="0.2">
      <c r="B106" s="39"/>
      <c r="C106" s="39"/>
      <c r="D106" s="39"/>
      <c r="E106" s="40" t="s">
        <v>115</v>
      </c>
      <c r="F106" s="40"/>
      <c r="G106" s="3" t="s">
        <v>16</v>
      </c>
      <c r="H106" s="36">
        <v>1</v>
      </c>
      <c r="I106" s="35">
        <v>180</v>
      </c>
      <c r="J106" s="35">
        <v>180</v>
      </c>
      <c r="K106" s="9">
        <f t="shared" si="9"/>
        <v>0.10390000000000001</v>
      </c>
      <c r="L106" s="10">
        <f t="shared" si="6"/>
        <v>18.702000000000002</v>
      </c>
      <c r="M106" s="10">
        <f t="shared" si="10"/>
        <v>0.63949999999999996</v>
      </c>
      <c r="N106" s="10">
        <f t="shared" si="7"/>
        <v>115.10999999999999</v>
      </c>
      <c r="O106" s="10">
        <f t="shared" si="11"/>
        <v>0.25659999999999999</v>
      </c>
      <c r="P106" s="10">
        <f t="shared" si="8"/>
        <v>46.188000000000002</v>
      </c>
    </row>
    <row r="107" spans="2:16" ht="10.5" customHeight="1" x14ac:dyDescent="0.2">
      <c r="B107" s="39"/>
      <c r="C107" s="39"/>
      <c r="D107" s="39"/>
      <c r="E107" s="40" t="s">
        <v>116</v>
      </c>
      <c r="F107" s="40"/>
      <c r="G107" s="3" t="s">
        <v>16</v>
      </c>
      <c r="H107" s="36">
        <v>1022.86</v>
      </c>
      <c r="I107" s="35">
        <v>1</v>
      </c>
      <c r="J107" s="35">
        <v>1022.86</v>
      </c>
      <c r="K107" s="9">
        <f t="shared" si="9"/>
        <v>106.27515400000001</v>
      </c>
      <c r="L107" s="10">
        <f t="shared" si="6"/>
        <v>106.27515400000001</v>
      </c>
      <c r="M107" s="10">
        <f t="shared" si="10"/>
        <v>654.11896999999999</v>
      </c>
      <c r="N107" s="10">
        <f t="shared" si="7"/>
        <v>654.11896999999999</v>
      </c>
      <c r="O107" s="10">
        <f t="shared" si="11"/>
        <v>262.46587599999998</v>
      </c>
      <c r="P107" s="10">
        <f t="shared" si="8"/>
        <v>262.46587599999998</v>
      </c>
    </row>
    <row r="108" spans="2:16" ht="10.5" customHeight="1" x14ac:dyDescent="0.2">
      <c r="B108" s="39"/>
      <c r="C108" s="39"/>
      <c r="D108" s="39"/>
      <c r="E108" s="48" t="s">
        <v>117</v>
      </c>
      <c r="F108" s="49"/>
      <c r="G108" s="3" t="s">
        <v>16</v>
      </c>
      <c r="H108" s="36">
        <v>4</v>
      </c>
      <c r="I108" s="35">
        <v>100</v>
      </c>
      <c r="J108" s="35">
        <v>400</v>
      </c>
      <c r="K108" s="9">
        <f t="shared" si="9"/>
        <v>0.41560000000000002</v>
      </c>
      <c r="L108" s="10">
        <f t="shared" si="6"/>
        <v>41.56</v>
      </c>
      <c r="M108" s="10">
        <f t="shared" si="10"/>
        <v>2.5579999999999998</v>
      </c>
      <c r="N108" s="10">
        <f t="shared" si="7"/>
        <v>255.79999999999998</v>
      </c>
      <c r="O108" s="10">
        <f t="shared" si="11"/>
        <v>1.0264</v>
      </c>
      <c r="P108" s="10">
        <f t="shared" si="8"/>
        <v>102.64</v>
      </c>
    </row>
    <row r="109" spans="2:16" ht="10.5" customHeight="1" x14ac:dyDescent="0.2">
      <c r="B109" s="39"/>
      <c r="C109" s="39"/>
      <c r="D109" s="39"/>
      <c r="E109" s="40" t="s">
        <v>118</v>
      </c>
      <c r="F109" s="40"/>
      <c r="G109" s="3" t="s">
        <v>16</v>
      </c>
      <c r="H109" s="36">
        <v>20</v>
      </c>
      <c r="I109" s="35">
        <v>0.2</v>
      </c>
      <c r="J109" s="35">
        <v>4</v>
      </c>
      <c r="K109" s="9">
        <f t="shared" si="9"/>
        <v>2.0780000000000003</v>
      </c>
      <c r="L109" s="10">
        <f t="shared" si="6"/>
        <v>0.41560000000000002</v>
      </c>
      <c r="M109" s="10">
        <f t="shared" si="10"/>
        <v>12.79</v>
      </c>
      <c r="N109" s="10">
        <f t="shared" si="7"/>
        <v>2.5579999999999998</v>
      </c>
      <c r="O109" s="10">
        <f t="shared" si="11"/>
        <v>5.1319999999999997</v>
      </c>
      <c r="P109" s="10">
        <f t="shared" si="8"/>
        <v>1.0264</v>
      </c>
    </row>
    <row r="110" spans="2:16" ht="10.5" customHeight="1" x14ac:dyDescent="0.2">
      <c r="B110" s="39"/>
      <c r="C110" s="39"/>
      <c r="D110" s="39"/>
      <c r="E110" s="48" t="s">
        <v>119</v>
      </c>
      <c r="F110" s="49"/>
      <c r="G110" s="3" t="s">
        <v>120</v>
      </c>
      <c r="H110" s="36">
        <v>1890.4460999999999</v>
      </c>
      <c r="I110" s="35">
        <v>6.5</v>
      </c>
      <c r="J110" s="35">
        <v>12287.9</v>
      </c>
      <c r="K110" s="9">
        <f t="shared" si="9"/>
        <v>196.41734979</v>
      </c>
      <c r="L110" s="10">
        <f t="shared" si="6"/>
        <v>1276.71281</v>
      </c>
      <c r="M110" s="10">
        <f t="shared" si="10"/>
        <v>1208.9402809499998</v>
      </c>
      <c r="N110" s="10">
        <f t="shared" si="7"/>
        <v>7858.1120499999988</v>
      </c>
      <c r="O110" s="10">
        <f t="shared" si="11"/>
        <v>485.08846925999995</v>
      </c>
      <c r="P110" s="10">
        <f t="shared" si="8"/>
        <v>3153.0751399999999</v>
      </c>
    </row>
    <row r="111" spans="2:16" ht="10.5" customHeight="1" x14ac:dyDescent="0.2">
      <c r="B111" s="39"/>
      <c r="C111" s="39"/>
      <c r="D111" s="39"/>
      <c r="E111" s="40" t="s">
        <v>121</v>
      </c>
      <c r="F111" s="40"/>
      <c r="G111" s="3" t="s">
        <v>16</v>
      </c>
      <c r="H111" s="36">
        <v>5</v>
      </c>
      <c r="I111" s="35">
        <v>50</v>
      </c>
      <c r="J111" s="35">
        <v>250</v>
      </c>
      <c r="K111" s="9">
        <f t="shared" si="9"/>
        <v>0.51950000000000007</v>
      </c>
      <c r="L111" s="10">
        <f t="shared" si="6"/>
        <v>25.975000000000001</v>
      </c>
      <c r="M111" s="10">
        <f t="shared" si="10"/>
        <v>3.1974999999999998</v>
      </c>
      <c r="N111" s="10">
        <f t="shared" si="7"/>
        <v>159.875</v>
      </c>
      <c r="O111" s="10">
        <f t="shared" si="11"/>
        <v>1.2829999999999999</v>
      </c>
      <c r="P111" s="10">
        <f t="shared" si="8"/>
        <v>64.150000000000006</v>
      </c>
    </row>
    <row r="112" spans="2:16" ht="10.5" customHeight="1" x14ac:dyDescent="0.2">
      <c r="B112" s="39"/>
      <c r="C112" s="39"/>
      <c r="D112" s="39"/>
      <c r="E112" s="40" t="s">
        <v>122</v>
      </c>
      <c r="F112" s="40"/>
      <c r="G112" s="3" t="s">
        <v>120</v>
      </c>
      <c r="H112" s="36">
        <v>40</v>
      </c>
      <c r="I112" s="35">
        <v>10</v>
      </c>
      <c r="J112" s="35">
        <v>400</v>
      </c>
      <c r="K112" s="9">
        <f t="shared" si="9"/>
        <v>4.1560000000000006</v>
      </c>
      <c r="L112" s="10">
        <f t="shared" si="6"/>
        <v>41.56</v>
      </c>
      <c r="M112" s="10">
        <f t="shared" si="10"/>
        <v>25.58</v>
      </c>
      <c r="N112" s="10">
        <f t="shared" si="7"/>
        <v>255.79999999999998</v>
      </c>
      <c r="O112" s="10">
        <f t="shared" si="11"/>
        <v>10.263999999999999</v>
      </c>
      <c r="P112" s="10">
        <f t="shared" si="8"/>
        <v>102.64</v>
      </c>
    </row>
    <row r="113" spans="2:16" ht="10.5" customHeight="1" x14ac:dyDescent="0.2">
      <c r="B113" s="39"/>
      <c r="C113" s="39"/>
      <c r="D113" s="39"/>
      <c r="E113" s="40" t="s">
        <v>123</v>
      </c>
      <c r="F113" s="40"/>
      <c r="G113" s="3" t="s">
        <v>124</v>
      </c>
      <c r="H113" s="36">
        <v>24</v>
      </c>
      <c r="I113" s="35">
        <v>12</v>
      </c>
      <c r="J113" s="35">
        <v>288</v>
      </c>
      <c r="K113" s="9">
        <f t="shared" si="9"/>
        <v>2.4936000000000003</v>
      </c>
      <c r="L113" s="10">
        <f t="shared" si="6"/>
        <v>29.923200000000001</v>
      </c>
      <c r="M113" s="10">
        <f t="shared" si="10"/>
        <v>15.347999999999999</v>
      </c>
      <c r="N113" s="10">
        <f t="shared" si="7"/>
        <v>184.17599999999999</v>
      </c>
      <c r="O113" s="10">
        <f t="shared" si="11"/>
        <v>6.1584000000000003</v>
      </c>
      <c r="P113" s="10">
        <f t="shared" si="8"/>
        <v>73.900800000000004</v>
      </c>
    </row>
    <row r="114" spans="2:16" ht="10.5" customHeight="1" x14ac:dyDescent="0.2">
      <c r="B114" s="39"/>
      <c r="C114" s="39"/>
      <c r="D114" s="39"/>
      <c r="E114" s="40" t="s">
        <v>125</v>
      </c>
      <c r="F114" s="40"/>
      <c r="G114" s="3" t="s">
        <v>16</v>
      </c>
      <c r="H114" s="36">
        <v>12</v>
      </c>
      <c r="I114" s="35">
        <v>42</v>
      </c>
      <c r="J114" s="35">
        <v>504</v>
      </c>
      <c r="K114" s="9">
        <f t="shared" si="9"/>
        <v>1.2468000000000001</v>
      </c>
      <c r="L114" s="10">
        <f t="shared" si="6"/>
        <v>52.365600000000001</v>
      </c>
      <c r="M114" s="10">
        <f t="shared" si="10"/>
        <v>7.6739999999999995</v>
      </c>
      <c r="N114" s="10">
        <f t="shared" si="7"/>
        <v>322.30799999999999</v>
      </c>
      <c r="O114" s="10">
        <f t="shared" si="11"/>
        <v>3.0792000000000002</v>
      </c>
      <c r="P114" s="10">
        <f t="shared" si="8"/>
        <v>129.32640000000001</v>
      </c>
    </row>
    <row r="115" spans="2:16" ht="10.5" customHeight="1" x14ac:dyDescent="0.2">
      <c r="B115" s="39"/>
      <c r="C115" s="39"/>
      <c r="D115" s="39"/>
      <c r="E115" s="40" t="s">
        <v>126</v>
      </c>
      <c r="F115" s="40"/>
      <c r="G115" s="3" t="s">
        <v>16</v>
      </c>
      <c r="H115" s="36">
        <v>12</v>
      </c>
      <c r="I115" s="35">
        <v>21</v>
      </c>
      <c r="J115" s="35">
        <v>252</v>
      </c>
      <c r="K115" s="9">
        <f t="shared" si="9"/>
        <v>1.2468000000000001</v>
      </c>
      <c r="L115" s="10">
        <f t="shared" si="6"/>
        <v>26.1828</v>
      </c>
      <c r="M115" s="10">
        <f t="shared" si="10"/>
        <v>7.6739999999999995</v>
      </c>
      <c r="N115" s="10">
        <f t="shared" si="7"/>
        <v>161.154</v>
      </c>
      <c r="O115" s="10">
        <f t="shared" si="11"/>
        <v>3.0792000000000002</v>
      </c>
      <c r="P115" s="10">
        <f t="shared" si="8"/>
        <v>64.663200000000003</v>
      </c>
    </row>
    <row r="116" spans="2:16" ht="10.5" customHeight="1" x14ac:dyDescent="0.2">
      <c r="B116" s="39"/>
      <c r="C116" s="39"/>
      <c r="D116" s="39"/>
      <c r="E116" s="40" t="s">
        <v>127</v>
      </c>
      <c r="F116" s="40"/>
      <c r="G116" s="3" t="s">
        <v>16</v>
      </c>
      <c r="H116" s="36">
        <v>12</v>
      </c>
      <c r="I116" s="35">
        <v>72</v>
      </c>
      <c r="J116" s="35">
        <v>864</v>
      </c>
      <c r="K116" s="9">
        <f t="shared" si="9"/>
        <v>1.2468000000000001</v>
      </c>
      <c r="L116" s="10">
        <f t="shared" si="6"/>
        <v>89.769600000000011</v>
      </c>
      <c r="M116" s="10">
        <f t="shared" si="10"/>
        <v>7.6739999999999995</v>
      </c>
      <c r="N116" s="10">
        <f t="shared" si="7"/>
        <v>552.52800000000002</v>
      </c>
      <c r="O116" s="10">
        <f t="shared" si="11"/>
        <v>3.0792000000000002</v>
      </c>
      <c r="P116" s="10">
        <f t="shared" si="8"/>
        <v>221.70239999999998</v>
      </c>
    </row>
    <row r="117" spans="2:16" ht="10.5" customHeight="1" x14ac:dyDescent="0.2">
      <c r="B117" s="39"/>
      <c r="C117" s="39"/>
      <c r="D117" s="39"/>
      <c r="E117" s="40" t="s">
        <v>128</v>
      </c>
      <c r="F117" s="40"/>
      <c r="G117" s="3" t="s">
        <v>16</v>
      </c>
      <c r="H117" s="36">
        <v>12</v>
      </c>
      <c r="I117" s="35">
        <v>6</v>
      </c>
      <c r="J117" s="35">
        <v>72</v>
      </c>
      <c r="K117" s="9">
        <f t="shared" si="9"/>
        <v>1.2468000000000001</v>
      </c>
      <c r="L117" s="10">
        <f t="shared" si="6"/>
        <v>7.4808000000000003</v>
      </c>
      <c r="M117" s="10">
        <f t="shared" si="10"/>
        <v>7.6739999999999995</v>
      </c>
      <c r="N117" s="10">
        <f t="shared" si="7"/>
        <v>46.043999999999997</v>
      </c>
      <c r="O117" s="10">
        <f t="shared" si="11"/>
        <v>3.0792000000000002</v>
      </c>
      <c r="P117" s="10">
        <f t="shared" si="8"/>
        <v>18.475200000000001</v>
      </c>
    </row>
    <row r="118" spans="2:16" ht="10.5" customHeight="1" x14ac:dyDescent="0.2">
      <c r="B118" s="39"/>
      <c r="C118" s="39"/>
      <c r="D118" s="39"/>
      <c r="E118" s="40" t="s">
        <v>129</v>
      </c>
      <c r="F118" s="40"/>
      <c r="G118" s="3" t="s">
        <v>124</v>
      </c>
      <c r="H118" s="36">
        <v>12</v>
      </c>
      <c r="I118" s="35">
        <v>40</v>
      </c>
      <c r="J118" s="35">
        <v>480</v>
      </c>
      <c r="K118" s="9">
        <f t="shared" si="9"/>
        <v>1.2468000000000001</v>
      </c>
      <c r="L118" s="10">
        <f t="shared" si="6"/>
        <v>49.872</v>
      </c>
      <c r="M118" s="10">
        <f t="shared" si="10"/>
        <v>7.6739999999999995</v>
      </c>
      <c r="N118" s="10">
        <f t="shared" si="7"/>
        <v>306.95999999999998</v>
      </c>
      <c r="O118" s="10">
        <f t="shared" si="11"/>
        <v>3.0792000000000002</v>
      </c>
      <c r="P118" s="10">
        <f t="shared" si="8"/>
        <v>123.16799999999999</v>
      </c>
    </row>
    <row r="119" spans="2:16" ht="10.5" customHeight="1" x14ac:dyDescent="0.2">
      <c r="B119" s="39"/>
      <c r="C119" s="39"/>
      <c r="D119" s="39"/>
      <c r="E119" s="40" t="s">
        <v>130</v>
      </c>
      <c r="F119" s="40"/>
      <c r="G119" s="3" t="s">
        <v>16</v>
      </c>
      <c r="H119" s="36">
        <v>0.67889999999999995</v>
      </c>
      <c r="I119" s="35">
        <v>120</v>
      </c>
      <c r="J119" s="35">
        <v>81.47</v>
      </c>
      <c r="K119" s="9">
        <f t="shared" si="9"/>
        <v>7.0537710000000003E-2</v>
      </c>
      <c r="L119" s="10">
        <f t="shared" si="6"/>
        <v>8.4647330000000007</v>
      </c>
      <c r="M119" s="10">
        <f t="shared" si="10"/>
        <v>0.43415654999999992</v>
      </c>
      <c r="N119" s="10">
        <f t="shared" si="7"/>
        <v>52.100064999999994</v>
      </c>
      <c r="O119" s="10">
        <f t="shared" si="11"/>
        <v>0.17420573999999997</v>
      </c>
      <c r="P119" s="10">
        <f t="shared" si="8"/>
        <v>20.905201999999999</v>
      </c>
    </row>
    <row r="120" spans="2:16" ht="10.5" customHeight="1" x14ac:dyDescent="0.2">
      <c r="B120" s="39"/>
      <c r="C120" s="39"/>
      <c r="D120" s="39"/>
      <c r="E120" s="48" t="s">
        <v>131</v>
      </c>
      <c r="F120" s="49"/>
      <c r="G120" s="3" t="s">
        <v>38</v>
      </c>
      <c r="H120" s="36">
        <v>329.04</v>
      </c>
      <c r="I120" s="35">
        <v>5.5</v>
      </c>
      <c r="J120" s="35">
        <v>1809.72</v>
      </c>
      <c r="K120" s="9">
        <f t="shared" si="9"/>
        <v>34.187256000000005</v>
      </c>
      <c r="L120" s="10">
        <f t="shared" si="6"/>
        <v>188.02990800000001</v>
      </c>
      <c r="M120" s="10">
        <f t="shared" si="10"/>
        <v>210.42107999999999</v>
      </c>
      <c r="N120" s="10">
        <f t="shared" si="7"/>
        <v>1157.31594</v>
      </c>
      <c r="O120" s="10">
        <f t="shared" si="11"/>
        <v>84.431663999999998</v>
      </c>
      <c r="P120" s="10">
        <f t="shared" si="8"/>
        <v>464.37415199999998</v>
      </c>
    </row>
    <row r="121" spans="2:16" ht="10.5" customHeight="1" x14ac:dyDescent="0.2">
      <c r="B121" s="39"/>
      <c r="C121" s="39"/>
      <c r="D121" s="39"/>
      <c r="E121" s="48" t="s">
        <v>132</v>
      </c>
      <c r="F121" s="49"/>
      <c r="G121" s="3" t="s">
        <v>16</v>
      </c>
      <c r="H121" s="36">
        <v>19</v>
      </c>
      <c r="I121" s="35">
        <v>720</v>
      </c>
      <c r="J121" s="35">
        <v>13680</v>
      </c>
      <c r="K121" s="9">
        <f t="shared" si="9"/>
        <v>1.9741000000000002</v>
      </c>
      <c r="L121" s="10">
        <f t="shared" si="6"/>
        <v>1421.3520000000001</v>
      </c>
      <c r="M121" s="10">
        <f t="shared" si="10"/>
        <v>12.150499999999999</v>
      </c>
      <c r="N121" s="10">
        <f t="shared" si="7"/>
        <v>8748.3599999999988</v>
      </c>
      <c r="O121" s="10">
        <f t="shared" si="11"/>
        <v>4.8754</v>
      </c>
      <c r="P121" s="10">
        <f t="shared" si="8"/>
        <v>3510.288</v>
      </c>
    </row>
    <row r="122" spans="2:16" ht="10.5" customHeight="1" x14ac:dyDescent="0.2">
      <c r="B122" s="39"/>
      <c r="C122" s="39"/>
      <c r="D122" s="39"/>
      <c r="E122" s="40" t="s">
        <v>133</v>
      </c>
      <c r="F122" s="40"/>
      <c r="G122" s="3" t="s">
        <v>134</v>
      </c>
      <c r="H122" s="36">
        <v>27.5</v>
      </c>
      <c r="I122" s="35">
        <v>60</v>
      </c>
      <c r="J122" s="35">
        <v>1650</v>
      </c>
      <c r="K122" s="9">
        <f t="shared" si="9"/>
        <v>2.8572500000000001</v>
      </c>
      <c r="L122" s="10">
        <f t="shared" si="6"/>
        <v>171.435</v>
      </c>
      <c r="M122" s="10">
        <f t="shared" si="10"/>
        <v>17.58625</v>
      </c>
      <c r="N122" s="10">
        <f t="shared" si="7"/>
        <v>1055.175</v>
      </c>
      <c r="O122" s="10">
        <f t="shared" si="11"/>
        <v>7.0564999999999998</v>
      </c>
      <c r="P122" s="10">
        <f t="shared" si="8"/>
        <v>423.39</v>
      </c>
    </row>
    <row r="123" spans="2:16" ht="10.5" customHeight="1" x14ac:dyDescent="0.2">
      <c r="B123" s="39"/>
      <c r="C123" s="39"/>
      <c r="D123" s="39"/>
      <c r="E123" s="40" t="s">
        <v>135</v>
      </c>
      <c r="F123" s="40"/>
      <c r="G123" s="3" t="s">
        <v>65</v>
      </c>
      <c r="H123" s="36">
        <v>113.16970000000001</v>
      </c>
      <c r="I123" s="35">
        <v>15.5</v>
      </c>
      <c r="J123" s="35">
        <v>1754.13</v>
      </c>
      <c r="K123" s="9">
        <f t="shared" si="9"/>
        <v>11.758331830000001</v>
      </c>
      <c r="L123" s="10">
        <f t="shared" si="6"/>
        <v>182.25410700000003</v>
      </c>
      <c r="M123" s="10">
        <f t="shared" si="10"/>
        <v>72.372023150000004</v>
      </c>
      <c r="N123" s="10">
        <f t="shared" si="7"/>
        <v>1121.7661350000001</v>
      </c>
      <c r="O123" s="10">
        <f t="shared" si="11"/>
        <v>29.039345020000003</v>
      </c>
      <c r="P123" s="10">
        <f t="shared" si="8"/>
        <v>450.109758</v>
      </c>
    </row>
    <row r="124" spans="2:16" ht="10.5" customHeight="1" x14ac:dyDescent="0.2">
      <c r="B124" s="39"/>
      <c r="C124" s="39"/>
      <c r="D124" s="39"/>
      <c r="E124" s="40" t="s">
        <v>136</v>
      </c>
      <c r="F124" s="40"/>
      <c r="G124" s="3" t="s">
        <v>137</v>
      </c>
      <c r="H124" s="36">
        <v>4</v>
      </c>
      <c r="I124" s="35">
        <v>15</v>
      </c>
      <c r="J124" s="35">
        <v>60</v>
      </c>
      <c r="K124" s="9">
        <f t="shared" si="9"/>
        <v>0.41560000000000002</v>
      </c>
      <c r="L124" s="10">
        <f t="shared" si="6"/>
        <v>6.234</v>
      </c>
      <c r="M124" s="10">
        <f t="shared" si="10"/>
        <v>2.5579999999999998</v>
      </c>
      <c r="N124" s="10">
        <f t="shared" si="7"/>
        <v>38.369999999999997</v>
      </c>
      <c r="O124" s="10">
        <f t="shared" si="11"/>
        <v>1.0264</v>
      </c>
      <c r="P124" s="10">
        <f t="shared" si="8"/>
        <v>15.395999999999999</v>
      </c>
    </row>
    <row r="125" spans="2:16" ht="10.5" customHeight="1" x14ac:dyDescent="0.2">
      <c r="B125" s="39"/>
      <c r="C125" s="39"/>
      <c r="D125" s="39"/>
      <c r="E125" s="48" t="s">
        <v>138</v>
      </c>
      <c r="F125" s="49"/>
      <c r="G125" s="3" t="s">
        <v>16</v>
      </c>
      <c r="H125" s="36">
        <v>140</v>
      </c>
      <c r="I125" s="35">
        <v>9</v>
      </c>
      <c r="J125" s="35">
        <v>1260</v>
      </c>
      <c r="K125" s="9">
        <f t="shared" si="9"/>
        <v>14.546000000000001</v>
      </c>
      <c r="L125" s="10">
        <f t="shared" si="6"/>
        <v>130.91400000000002</v>
      </c>
      <c r="M125" s="10">
        <f t="shared" si="10"/>
        <v>89.53</v>
      </c>
      <c r="N125" s="10">
        <f t="shared" si="7"/>
        <v>805.77</v>
      </c>
      <c r="O125" s="10">
        <f t="shared" si="11"/>
        <v>35.923999999999999</v>
      </c>
      <c r="P125" s="10">
        <f t="shared" si="8"/>
        <v>323.31599999999997</v>
      </c>
    </row>
    <row r="126" spans="2:16" ht="10.5" customHeight="1" x14ac:dyDescent="0.2">
      <c r="B126" s="39"/>
      <c r="C126" s="39"/>
      <c r="D126" s="39"/>
      <c r="E126" s="40" t="s">
        <v>139</v>
      </c>
      <c r="F126" s="40"/>
      <c r="G126" s="3" t="s">
        <v>38</v>
      </c>
      <c r="H126" s="36">
        <v>80.599999999999994</v>
      </c>
      <c r="I126" s="35">
        <v>20</v>
      </c>
      <c r="J126" s="35">
        <v>1612</v>
      </c>
      <c r="K126" s="9">
        <f t="shared" si="9"/>
        <v>8.3743400000000001</v>
      </c>
      <c r="L126" s="10">
        <f t="shared" si="6"/>
        <v>167.48680000000002</v>
      </c>
      <c r="M126" s="10">
        <f t="shared" si="10"/>
        <v>51.543699999999994</v>
      </c>
      <c r="N126" s="10">
        <f t="shared" si="7"/>
        <v>1030.874</v>
      </c>
      <c r="O126" s="10">
        <f t="shared" si="11"/>
        <v>20.681959999999997</v>
      </c>
      <c r="P126" s="10">
        <f t="shared" si="8"/>
        <v>413.63920000000002</v>
      </c>
    </row>
    <row r="127" spans="2:16" ht="10.5" customHeight="1" x14ac:dyDescent="0.2">
      <c r="B127" s="39"/>
      <c r="C127" s="39"/>
      <c r="D127" s="39"/>
      <c r="E127" s="40" t="s">
        <v>140</v>
      </c>
      <c r="F127" s="40"/>
      <c r="G127" s="3" t="s">
        <v>38</v>
      </c>
      <c r="H127" s="36">
        <v>296.15269999999998</v>
      </c>
      <c r="I127" s="35">
        <v>15</v>
      </c>
      <c r="J127" s="35">
        <v>4442.29</v>
      </c>
      <c r="K127" s="9">
        <f t="shared" si="9"/>
        <v>30.77026553</v>
      </c>
      <c r="L127" s="10">
        <f t="shared" si="6"/>
        <v>461.55393100000003</v>
      </c>
      <c r="M127" s="10">
        <f t="shared" si="10"/>
        <v>189.38965164999996</v>
      </c>
      <c r="N127" s="10">
        <f t="shared" si="7"/>
        <v>2840.8444549999999</v>
      </c>
      <c r="O127" s="10">
        <f t="shared" si="11"/>
        <v>75.992782819999988</v>
      </c>
      <c r="P127" s="10">
        <f t="shared" si="8"/>
        <v>1139.8916139999999</v>
      </c>
    </row>
    <row r="128" spans="2:16" ht="10.5" customHeight="1" x14ac:dyDescent="0.2">
      <c r="B128" s="39"/>
      <c r="C128" s="39"/>
      <c r="D128" s="39"/>
      <c r="E128" s="48" t="s">
        <v>141</v>
      </c>
      <c r="F128" s="49"/>
      <c r="G128" s="3" t="s">
        <v>38</v>
      </c>
      <c r="H128" s="36">
        <v>241.00649999999999</v>
      </c>
      <c r="I128" s="35">
        <v>22</v>
      </c>
      <c r="J128" s="35">
        <v>5302.15</v>
      </c>
      <c r="K128" s="9">
        <f t="shared" si="9"/>
        <v>25.040575350000001</v>
      </c>
      <c r="L128" s="10">
        <f t="shared" si="6"/>
        <v>550.89338499999997</v>
      </c>
      <c r="M128" s="10">
        <f t="shared" si="10"/>
        <v>154.12365674999998</v>
      </c>
      <c r="N128" s="10">
        <f t="shared" si="7"/>
        <v>3390.7249249999995</v>
      </c>
      <c r="O128" s="10">
        <f t="shared" si="11"/>
        <v>61.842267899999996</v>
      </c>
      <c r="P128" s="10">
        <f t="shared" si="8"/>
        <v>1360.5316899999998</v>
      </c>
    </row>
    <row r="129" spans="2:16" ht="10.5" customHeight="1" x14ac:dyDescent="0.2">
      <c r="B129" s="39"/>
      <c r="C129" s="39"/>
      <c r="D129" s="39"/>
      <c r="E129" s="48" t="s">
        <v>142</v>
      </c>
      <c r="F129" s="49"/>
      <c r="G129" s="3" t="s">
        <v>38</v>
      </c>
      <c r="H129" s="36">
        <v>310.31700000000001</v>
      </c>
      <c r="I129" s="35">
        <v>17</v>
      </c>
      <c r="J129" s="35">
        <v>5275.39</v>
      </c>
      <c r="K129" s="9">
        <f t="shared" si="9"/>
        <v>32.241936300000006</v>
      </c>
      <c r="L129" s="10">
        <f t="shared" si="6"/>
        <v>548.11302100000012</v>
      </c>
      <c r="M129" s="10">
        <f t="shared" si="10"/>
        <v>198.4477215</v>
      </c>
      <c r="N129" s="10">
        <f t="shared" si="7"/>
        <v>3373.6119050000002</v>
      </c>
      <c r="O129" s="10">
        <f t="shared" si="11"/>
        <v>79.627342200000001</v>
      </c>
      <c r="P129" s="10">
        <f t="shared" si="8"/>
        <v>1353.665074</v>
      </c>
    </row>
    <row r="130" spans="2:16" ht="10.5" customHeight="1" x14ac:dyDescent="0.2">
      <c r="B130" s="39"/>
      <c r="C130" s="39"/>
      <c r="D130" s="39"/>
      <c r="E130" s="40" t="s">
        <v>143</v>
      </c>
      <c r="F130" s="40"/>
      <c r="G130" s="3" t="s">
        <v>38</v>
      </c>
      <c r="H130" s="36">
        <v>39.942</v>
      </c>
      <c r="I130" s="35">
        <v>10.199999999999999</v>
      </c>
      <c r="J130" s="35">
        <v>407.41</v>
      </c>
      <c r="K130" s="9">
        <f t="shared" si="9"/>
        <v>4.1499738000000006</v>
      </c>
      <c r="L130" s="10">
        <f t="shared" si="6"/>
        <v>42.329899000000005</v>
      </c>
      <c r="M130" s="10">
        <f t="shared" si="10"/>
        <v>25.542908999999998</v>
      </c>
      <c r="N130" s="10">
        <f t="shared" si="7"/>
        <v>260.53869500000002</v>
      </c>
      <c r="O130" s="10">
        <f t="shared" si="11"/>
        <v>10.249117200000001</v>
      </c>
      <c r="P130" s="10">
        <f t="shared" si="8"/>
        <v>104.54140600000001</v>
      </c>
    </row>
    <row r="131" spans="2:16" ht="10.5" customHeight="1" x14ac:dyDescent="0.2">
      <c r="B131" s="39"/>
      <c r="C131" s="39"/>
      <c r="D131" s="39"/>
      <c r="E131" s="48" t="s">
        <v>144</v>
      </c>
      <c r="F131" s="49"/>
      <c r="G131" s="3" t="s">
        <v>38</v>
      </c>
      <c r="H131" s="36">
        <v>11</v>
      </c>
      <c r="I131" s="35">
        <v>5</v>
      </c>
      <c r="J131" s="35">
        <v>55</v>
      </c>
      <c r="K131" s="9">
        <f t="shared" si="9"/>
        <v>1.1429</v>
      </c>
      <c r="L131" s="10">
        <f t="shared" si="6"/>
        <v>5.7145000000000001</v>
      </c>
      <c r="M131" s="10">
        <f t="shared" si="10"/>
        <v>7.0344999999999995</v>
      </c>
      <c r="N131" s="10">
        <f t="shared" si="7"/>
        <v>35.172499999999999</v>
      </c>
      <c r="O131" s="10">
        <f t="shared" si="11"/>
        <v>2.8226</v>
      </c>
      <c r="P131" s="10">
        <f t="shared" si="8"/>
        <v>14.113</v>
      </c>
    </row>
    <row r="132" spans="2:16" ht="10.5" customHeight="1" x14ac:dyDescent="0.2">
      <c r="B132" s="39"/>
      <c r="C132" s="39"/>
      <c r="D132" s="39"/>
      <c r="E132" s="40" t="s">
        <v>145</v>
      </c>
      <c r="F132" s="40"/>
      <c r="G132" s="3" t="s">
        <v>38</v>
      </c>
      <c r="H132" s="36">
        <v>67.515000000000001</v>
      </c>
      <c r="I132" s="35">
        <v>2.5</v>
      </c>
      <c r="J132" s="35">
        <v>168.79</v>
      </c>
      <c r="K132" s="9">
        <f t="shared" si="9"/>
        <v>7.0148085000000009</v>
      </c>
      <c r="L132" s="10">
        <f t="shared" si="6"/>
        <v>17.537281</v>
      </c>
      <c r="M132" s="10">
        <f t="shared" si="10"/>
        <v>43.175842499999995</v>
      </c>
      <c r="N132" s="10">
        <f t="shared" si="7"/>
        <v>107.94120499999998</v>
      </c>
      <c r="O132" s="10">
        <f t="shared" si="11"/>
        <v>17.324349000000002</v>
      </c>
      <c r="P132" s="10">
        <f t="shared" si="8"/>
        <v>43.311513999999995</v>
      </c>
    </row>
    <row r="133" spans="2:16" ht="10.5" customHeight="1" x14ac:dyDescent="0.2">
      <c r="B133" s="39"/>
      <c r="C133" s="39"/>
      <c r="D133" s="39"/>
      <c r="E133" s="40" t="s">
        <v>146</v>
      </c>
      <c r="F133" s="40"/>
      <c r="G133" s="3" t="s">
        <v>16</v>
      </c>
      <c r="H133" s="36">
        <v>64.3</v>
      </c>
      <c r="I133" s="35">
        <v>1</v>
      </c>
      <c r="J133" s="35">
        <v>64.3</v>
      </c>
      <c r="K133" s="9">
        <f t="shared" si="9"/>
        <v>6.6807699999999999</v>
      </c>
      <c r="L133" s="10">
        <f t="shared" si="6"/>
        <v>6.6807699999999999</v>
      </c>
      <c r="M133" s="10">
        <f t="shared" si="10"/>
        <v>41.119849999999992</v>
      </c>
      <c r="N133" s="10">
        <f t="shared" si="7"/>
        <v>41.119849999999992</v>
      </c>
      <c r="O133" s="10">
        <f t="shared" si="11"/>
        <v>16.499379999999999</v>
      </c>
      <c r="P133" s="10">
        <f t="shared" si="8"/>
        <v>16.499379999999999</v>
      </c>
    </row>
    <row r="134" spans="2:16" ht="10.5" customHeight="1" x14ac:dyDescent="0.2">
      <c r="B134" s="39"/>
      <c r="C134" s="39"/>
      <c r="D134" s="39"/>
      <c r="E134" s="40" t="s">
        <v>147</v>
      </c>
      <c r="F134" s="40"/>
      <c r="G134" s="3" t="s">
        <v>16</v>
      </c>
      <c r="H134" s="36">
        <v>64.3</v>
      </c>
      <c r="I134" s="35">
        <v>1</v>
      </c>
      <c r="J134" s="35">
        <v>64.3</v>
      </c>
      <c r="K134" s="9">
        <f t="shared" si="9"/>
        <v>6.6807699999999999</v>
      </c>
      <c r="L134" s="10">
        <f t="shared" si="6"/>
        <v>6.6807699999999999</v>
      </c>
      <c r="M134" s="10">
        <f t="shared" si="10"/>
        <v>41.119849999999992</v>
      </c>
      <c r="N134" s="10">
        <f t="shared" si="7"/>
        <v>41.119849999999992</v>
      </c>
      <c r="O134" s="10">
        <f t="shared" si="11"/>
        <v>16.499379999999999</v>
      </c>
      <c r="P134" s="10">
        <f t="shared" si="8"/>
        <v>16.499379999999999</v>
      </c>
    </row>
    <row r="135" spans="2:16" ht="10.5" customHeight="1" x14ac:dyDescent="0.2">
      <c r="B135" s="39"/>
      <c r="C135" s="39"/>
      <c r="D135" s="39"/>
      <c r="E135" s="40" t="s">
        <v>148</v>
      </c>
      <c r="F135" s="40"/>
      <c r="G135" s="3" t="s">
        <v>30</v>
      </c>
      <c r="H135" s="36">
        <v>28.678599999999999</v>
      </c>
      <c r="I135" s="35">
        <v>45</v>
      </c>
      <c r="J135" s="35">
        <v>1290.54</v>
      </c>
      <c r="K135" s="9">
        <f t="shared" si="9"/>
        <v>2.97970654</v>
      </c>
      <c r="L135" s="10">
        <f t="shared" si="6"/>
        <v>134.08710600000001</v>
      </c>
      <c r="M135" s="10">
        <f t="shared" si="10"/>
        <v>18.339964699999999</v>
      </c>
      <c r="N135" s="10">
        <f t="shared" si="7"/>
        <v>825.30032999999992</v>
      </c>
      <c r="O135" s="10">
        <f t="shared" si="11"/>
        <v>7.3589287599999995</v>
      </c>
      <c r="P135" s="10">
        <f t="shared" si="8"/>
        <v>331.15256399999998</v>
      </c>
    </row>
    <row r="136" spans="2:16" ht="10.5" customHeight="1" x14ac:dyDescent="0.2">
      <c r="B136" s="39"/>
      <c r="C136" s="39"/>
      <c r="D136" s="39"/>
      <c r="E136" s="40" t="s">
        <v>149</v>
      </c>
      <c r="F136" s="40"/>
      <c r="G136" s="3" t="s">
        <v>30</v>
      </c>
      <c r="H136" s="36">
        <v>8.9204000000000008</v>
      </c>
      <c r="I136" s="35">
        <v>50</v>
      </c>
      <c r="J136" s="35">
        <v>446.02</v>
      </c>
      <c r="K136" s="9">
        <f t="shared" si="9"/>
        <v>0.92682956000000016</v>
      </c>
      <c r="L136" s="10">
        <f t="shared" si="6"/>
        <v>46.341478000000002</v>
      </c>
      <c r="M136" s="10">
        <f t="shared" si="10"/>
        <v>5.7045957999999999</v>
      </c>
      <c r="N136" s="10">
        <f t="shared" si="7"/>
        <v>285.22978999999998</v>
      </c>
      <c r="O136" s="10">
        <f t="shared" si="11"/>
        <v>2.2889746400000002</v>
      </c>
      <c r="P136" s="10">
        <f t="shared" si="8"/>
        <v>114.44873199999999</v>
      </c>
    </row>
    <row r="137" spans="2:16" ht="10.5" customHeight="1" x14ac:dyDescent="0.2">
      <c r="B137" s="39"/>
      <c r="C137" s="39"/>
      <c r="D137" s="39"/>
      <c r="E137" s="40" t="s">
        <v>150</v>
      </c>
      <c r="F137" s="40"/>
      <c r="G137" s="3" t="s">
        <v>30</v>
      </c>
      <c r="H137" s="36">
        <v>0.65639999999999998</v>
      </c>
      <c r="I137" s="35">
        <v>32</v>
      </c>
      <c r="J137" s="35">
        <v>21</v>
      </c>
      <c r="K137" s="9">
        <f t="shared" si="9"/>
        <v>6.8199960000000004E-2</v>
      </c>
      <c r="L137" s="10">
        <f t="shared" si="6"/>
        <v>2.1819000000000002</v>
      </c>
      <c r="M137" s="10">
        <f t="shared" si="10"/>
        <v>0.41976779999999997</v>
      </c>
      <c r="N137" s="10">
        <f t="shared" si="7"/>
        <v>13.429499999999999</v>
      </c>
      <c r="O137" s="10">
        <f t="shared" si="11"/>
        <v>0.16843223999999998</v>
      </c>
      <c r="P137" s="10">
        <f t="shared" si="8"/>
        <v>5.3886000000000003</v>
      </c>
    </row>
    <row r="138" spans="2:16" ht="10.5" customHeight="1" x14ac:dyDescent="0.2">
      <c r="B138" s="39"/>
      <c r="C138" s="39"/>
      <c r="D138" s="39"/>
      <c r="E138" s="40" t="s">
        <v>151</v>
      </c>
      <c r="F138" s="40"/>
      <c r="G138" s="3" t="s">
        <v>30</v>
      </c>
      <c r="H138" s="36">
        <v>0.98460000000000003</v>
      </c>
      <c r="I138" s="35">
        <v>35</v>
      </c>
      <c r="J138" s="35">
        <v>34.46</v>
      </c>
      <c r="K138" s="9">
        <f t="shared" si="9"/>
        <v>0.10229994000000001</v>
      </c>
      <c r="L138" s="10">
        <f t="shared" si="6"/>
        <v>3.5803940000000005</v>
      </c>
      <c r="M138" s="10">
        <f t="shared" si="10"/>
        <v>0.62965169999999993</v>
      </c>
      <c r="N138" s="10">
        <f t="shared" si="7"/>
        <v>22.03717</v>
      </c>
      <c r="O138" s="10">
        <f t="shared" si="11"/>
        <v>0.25264836000000002</v>
      </c>
      <c r="P138" s="10">
        <f t="shared" si="8"/>
        <v>8.8424359999999993</v>
      </c>
    </row>
    <row r="139" spans="2:16" ht="10.5" customHeight="1" x14ac:dyDescent="0.2">
      <c r="B139" s="39"/>
      <c r="C139" s="39"/>
      <c r="D139" s="39"/>
      <c r="E139" s="40" t="s">
        <v>152</v>
      </c>
      <c r="F139" s="40"/>
      <c r="G139" s="3" t="s">
        <v>30</v>
      </c>
      <c r="H139" s="36">
        <v>0.5</v>
      </c>
      <c r="I139" s="35">
        <v>55</v>
      </c>
      <c r="J139" s="35">
        <v>27.5</v>
      </c>
      <c r="K139" s="9">
        <f t="shared" si="9"/>
        <v>5.1950000000000003E-2</v>
      </c>
      <c r="L139" s="10">
        <f t="shared" si="6"/>
        <v>2.8572500000000001</v>
      </c>
      <c r="M139" s="10">
        <f t="shared" si="10"/>
        <v>0.31974999999999998</v>
      </c>
      <c r="N139" s="10">
        <f t="shared" si="7"/>
        <v>17.58625</v>
      </c>
      <c r="O139" s="10">
        <f t="shared" si="11"/>
        <v>0.1283</v>
      </c>
      <c r="P139" s="10">
        <f t="shared" si="8"/>
        <v>7.0564999999999998</v>
      </c>
    </row>
    <row r="140" spans="2:16" ht="10.5" customHeight="1" x14ac:dyDescent="0.2">
      <c r="B140" s="39"/>
      <c r="C140" s="39"/>
      <c r="D140" s="39"/>
      <c r="E140" s="40" t="s">
        <v>153</v>
      </c>
      <c r="F140" s="40"/>
      <c r="G140" s="3" t="s">
        <v>16</v>
      </c>
      <c r="H140" s="36">
        <v>72.243300000000005</v>
      </c>
      <c r="I140" s="35">
        <v>15</v>
      </c>
      <c r="J140" s="35">
        <v>1083.6500000000001</v>
      </c>
      <c r="K140" s="9">
        <f t="shared" si="9"/>
        <v>7.5060788700000014</v>
      </c>
      <c r="L140" s="10">
        <f t="shared" si="6"/>
        <v>112.59123500000001</v>
      </c>
      <c r="M140" s="10">
        <f t="shared" si="10"/>
        <v>46.199590350000001</v>
      </c>
      <c r="N140" s="10">
        <f t="shared" si="7"/>
        <v>692.99417500000004</v>
      </c>
      <c r="O140" s="10">
        <f t="shared" si="11"/>
        <v>18.537630780000001</v>
      </c>
      <c r="P140" s="10">
        <f t="shared" si="8"/>
        <v>278.06459000000001</v>
      </c>
    </row>
    <row r="141" spans="2:16" ht="10.5" customHeight="1" x14ac:dyDescent="0.2">
      <c r="B141" s="39"/>
      <c r="C141" s="39"/>
      <c r="D141" s="39"/>
      <c r="E141" s="48" t="s">
        <v>154</v>
      </c>
      <c r="F141" s="49"/>
      <c r="G141" s="3" t="s">
        <v>16</v>
      </c>
      <c r="H141" s="36">
        <v>36.093699999999998</v>
      </c>
      <c r="I141" s="35">
        <v>25</v>
      </c>
      <c r="J141" s="35">
        <v>902.34</v>
      </c>
      <c r="K141" s="9">
        <f t="shared" si="9"/>
        <v>3.7501354300000003</v>
      </c>
      <c r="L141" s="10">
        <f t="shared" si="6"/>
        <v>93.753126000000009</v>
      </c>
      <c r="M141" s="10">
        <f t="shared" si="10"/>
        <v>23.081921149999996</v>
      </c>
      <c r="N141" s="10">
        <f t="shared" si="7"/>
        <v>577.04642999999999</v>
      </c>
      <c r="O141" s="10">
        <f t="shared" si="11"/>
        <v>9.2616434199999986</v>
      </c>
      <c r="P141" s="10">
        <f t="shared" si="8"/>
        <v>231.54044400000001</v>
      </c>
    </row>
    <row r="142" spans="2:16" ht="10.5" customHeight="1" x14ac:dyDescent="0.2">
      <c r="B142" s="39"/>
      <c r="C142" s="39"/>
      <c r="D142" s="39"/>
      <c r="E142" s="40" t="s">
        <v>155</v>
      </c>
      <c r="F142" s="40"/>
      <c r="G142" s="3" t="s">
        <v>16</v>
      </c>
      <c r="H142" s="36">
        <v>764.36</v>
      </c>
      <c r="I142" s="35">
        <v>1.5</v>
      </c>
      <c r="J142" s="35">
        <v>1146.54</v>
      </c>
      <c r="K142" s="9">
        <f t="shared" si="9"/>
        <v>79.417004000000006</v>
      </c>
      <c r="L142" s="10">
        <f t="shared" si="6"/>
        <v>119.125506</v>
      </c>
      <c r="M142" s="10">
        <f t="shared" si="10"/>
        <v>488.80821999999995</v>
      </c>
      <c r="N142" s="10">
        <f t="shared" si="7"/>
        <v>733.21232999999995</v>
      </c>
      <c r="O142" s="10">
        <f t="shared" si="11"/>
        <v>196.13477599999999</v>
      </c>
      <c r="P142" s="10">
        <f t="shared" si="8"/>
        <v>294.20216399999998</v>
      </c>
    </row>
    <row r="143" spans="2:16" ht="10.5" customHeight="1" x14ac:dyDescent="0.2">
      <c r="B143" s="39"/>
      <c r="C143" s="39"/>
      <c r="D143" s="39"/>
      <c r="E143" s="48" t="s">
        <v>156</v>
      </c>
      <c r="F143" s="49"/>
      <c r="G143" s="3" t="s">
        <v>65</v>
      </c>
      <c r="H143" s="36">
        <v>198.5025</v>
      </c>
      <c r="I143" s="35">
        <v>24</v>
      </c>
      <c r="J143" s="35">
        <v>4764.0600000000004</v>
      </c>
      <c r="K143" s="9">
        <f t="shared" si="9"/>
        <v>20.624409750000002</v>
      </c>
      <c r="L143" s="10">
        <f t="shared" si="6"/>
        <v>494.98583400000007</v>
      </c>
      <c r="M143" s="10">
        <f t="shared" si="10"/>
        <v>126.94234874999999</v>
      </c>
      <c r="N143" s="10">
        <f t="shared" si="7"/>
        <v>3046.6163700000002</v>
      </c>
      <c r="O143" s="10">
        <f t="shared" si="11"/>
        <v>50.935741499999999</v>
      </c>
      <c r="P143" s="10">
        <f t="shared" si="8"/>
        <v>1222.4577960000001</v>
      </c>
    </row>
    <row r="144" spans="2:16" ht="10.5" customHeight="1" x14ac:dyDescent="0.2">
      <c r="B144" s="39"/>
      <c r="C144" s="39"/>
      <c r="D144" s="39"/>
      <c r="E144" s="40" t="s">
        <v>157</v>
      </c>
      <c r="F144" s="40"/>
      <c r="G144" s="3" t="s">
        <v>16</v>
      </c>
      <c r="H144" s="36">
        <v>0.04</v>
      </c>
      <c r="I144" s="35">
        <v>21</v>
      </c>
      <c r="J144" s="35">
        <v>0.84</v>
      </c>
      <c r="K144" s="9">
        <f t="shared" si="9"/>
        <v>4.156E-3</v>
      </c>
      <c r="L144" s="10">
        <f t="shared" si="6"/>
        <v>8.7276000000000006E-2</v>
      </c>
      <c r="M144" s="10">
        <f t="shared" si="10"/>
        <v>2.5579999999999999E-2</v>
      </c>
      <c r="N144" s="10">
        <f t="shared" si="7"/>
        <v>0.53717999999999999</v>
      </c>
      <c r="O144" s="10">
        <f t="shared" si="11"/>
        <v>1.0264000000000001E-2</v>
      </c>
      <c r="P144" s="10">
        <f t="shared" si="8"/>
        <v>0.21554399999999999</v>
      </c>
    </row>
    <row r="145" spans="2:16" ht="10.5" customHeight="1" x14ac:dyDescent="0.2">
      <c r="B145" s="39"/>
      <c r="C145" s="39"/>
      <c r="D145" s="39"/>
      <c r="E145" s="40" t="s">
        <v>158</v>
      </c>
      <c r="F145" s="40"/>
      <c r="G145" s="3" t="s">
        <v>16</v>
      </c>
      <c r="H145" s="36">
        <v>11.12</v>
      </c>
      <c r="I145" s="35">
        <v>9</v>
      </c>
      <c r="J145" s="35">
        <v>100.08</v>
      </c>
      <c r="K145" s="9">
        <f t="shared" si="9"/>
        <v>1.155368</v>
      </c>
      <c r="L145" s="10">
        <f t="shared" ref="L145:L208" si="12">J145*$K$8</f>
        <v>10.398312000000001</v>
      </c>
      <c r="M145" s="10">
        <f t="shared" si="10"/>
        <v>7.1112399999999987</v>
      </c>
      <c r="N145" s="10">
        <f t="shared" ref="N145:N208" si="13">J145*$M$8</f>
        <v>64.001159999999999</v>
      </c>
      <c r="O145" s="10">
        <f t="shared" si="11"/>
        <v>2.8533919999999999</v>
      </c>
      <c r="P145" s="10">
        <f t="shared" ref="P145:P208" si="14">J145*$O$8</f>
        <v>25.680527999999999</v>
      </c>
    </row>
    <row r="146" spans="2:16" ht="10.5" customHeight="1" x14ac:dyDescent="0.2">
      <c r="B146" s="39"/>
      <c r="C146" s="39"/>
      <c r="D146" s="39"/>
      <c r="E146" s="40" t="s">
        <v>159</v>
      </c>
      <c r="F146" s="40"/>
      <c r="G146" s="3" t="s">
        <v>16</v>
      </c>
      <c r="H146" s="36">
        <v>30</v>
      </c>
      <c r="I146" s="35">
        <v>10</v>
      </c>
      <c r="J146" s="35">
        <v>300</v>
      </c>
      <c r="K146" s="9">
        <f t="shared" ref="K146:K209" si="15">H146*$K$8</f>
        <v>3.117</v>
      </c>
      <c r="L146" s="10">
        <f t="shared" si="12"/>
        <v>31.17</v>
      </c>
      <c r="M146" s="10">
        <f t="shared" ref="M146:M209" si="16">H146*$M$8</f>
        <v>19.184999999999999</v>
      </c>
      <c r="N146" s="10">
        <f t="shared" si="13"/>
        <v>191.85</v>
      </c>
      <c r="O146" s="10">
        <f t="shared" ref="O146:O209" si="17">H146*$O$8</f>
        <v>7.6979999999999995</v>
      </c>
      <c r="P146" s="10">
        <f t="shared" si="14"/>
        <v>76.98</v>
      </c>
    </row>
    <row r="147" spans="2:16" ht="10.5" customHeight="1" x14ac:dyDescent="0.2">
      <c r="B147" s="39"/>
      <c r="C147" s="39"/>
      <c r="D147" s="39"/>
      <c r="E147" s="40" t="s">
        <v>160</v>
      </c>
      <c r="F147" s="40"/>
      <c r="G147" s="3" t="s">
        <v>134</v>
      </c>
      <c r="H147" s="36">
        <v>25.478400000000001</v>
      </c>
      <c r="I147" s="35">
        <v>13</v>
      </c>
      <c r="J147" s="35">
        <v>331.22</v>
      </c>
      <c r="K147" s="9">
        <f t="shared" si="15"/>
        <v>2.6472057600000003</v>
      </c>
      <c r="L147" s="10">
        <f t="shared" si="12"/>
        <v>34.413758000000001</v>
      </c>
      <c r="M147" s="10">
        <f t="shared" si="16"/>
        <v>16.293436799999998</v>
      </c>
      <c r="N147" s="10">
        <f t="shared" si="13"/>
        <v>211.81519</v>
      </c>
      <c r="O147" s="10">
        <f t="shared" si="17"/>
        <v>6.53775744</v>
      </c>
      <c r="P147" s="10">
        <f t="shared" si="14"/>
        <v>84.99105200000001</v>
      </c>
    </row>
    <row r="148" spans="2:16" ht="10.5" customHeight="1" x14ac:dyDescent="0.2">
      <c r="B148" s="39"/>
      <c r="C148" s="39"/>
      <c r="D148" s="39"/>
      <c r="E148" s="40" t="s">
        <v>161</v>
      </c>
      <c r="F148" s="40"/>
      <c r="G148" s="3" t="s">
        <v>23</v>
      </c>
      <c r="H148" s="36">
        <v>1.7010000000000001</v>
      </c>
      <c r="I148" s="35">
        <v>120</v>
      </c>
      <c r="J148" s="35">
        <v>204.12</v>
      </c>
      <c r="K148" s="9">
        <f t="shared" si="15"/>
        <v>0.17673390000000003</v>
      </c>
      <c r="L148" s="10">
        <f t="shared" si="12"/>
        <v>21.208068000000001</v>
      </c>
      <c r="M148" s="10">
        <f t="shared" si="16"/>
        <v>1.0877895</v>
      </c>
      <c r="N148" s="10">
        <f t="shared" si="13"/>
        <v>130.53474</v>
      </c>
      <c r="O148" s="10">
        <f t="shared" si="17"/>
        <v>0.43647659999999999</v>
      </c>
      <c r="P148" s="10">
        <f t="shared" si="14"/>
        <v>52.377192000000001</v>
      </c>
    </row>
    <row r="149" spans="2:16" ht="10.5" customHeight="1" x14ac:dyDescent="0.2">
      <c r="B149" s="39"/>
      <c r="C149" s="39"/>
      <c r="D149" s="39"/>
      <c r="E149" s="40" t="s">
        <v>162</v>
      </c>
      <c r="F149" s="40"/>
      <c r="G149" s="3" t="s">
        <v>23</v>
      </c>
      <c r="H149" s="36">
        <v>1.7010000000000001</v>
      </c>
      <c r="I149" s="35">
        <v>12.5</v>
      </c>
      <c r="J149" s="35">
        <v>21.26</v>
      </c>
      <c r="K149" s="9">
        <f t="shared" si="15"/>
        <v>0.17673390000000003</v>
      </c>
      <c r="L149" s="10">
        <f t="shared" si="12"/>
        <v>2.2089140000000005</v>
      </c>
      <c r="M149" s="10">
        <f t="shared" si="16"/>
        <v>1.0877895</v>
      </c>
      <c r="N149" s="10">
        <f t="shared" si="13"/>
        <v>13.59577</v>
      </c>
      <c r="O149" s="10">
        <f t="shared" si="17"/>
        <v>0.43647659999999999</v>
      </c>
      <c r="P149" s="10">
        <f t="shared" si="14"/>
        <v>5.4553160000000007</v>
      </c>
    </row>
    <row r="150" spans="2:16" ht="10.5" customHeight="1" x14ac:dyDescent="0.2">
      <c r="B150" s="39"/>
      <c r="C150" s="39"/>
      <c r="D150" s="39"/>
      <c r="E150" s="40" t="s">
        <v>163</v>
      </c>
      <c r="F150" s="40"/>
      <c r="G150" s="3" t="s">
        <v>38</v>
      </c>
      <c r="H150" s="36">
        <v>3</v>
      </c>
      <c r="I150" s="35">
        <v>8</v>
      </c>
      <c r="J150" s="35">
        <v>24</v>
      </c>
      <c r="K150" s="9">
        <f t="shared" si="15"/>
        <v>0.31170000000000003</v>
      </c>
      <c r="L150" s="10">
        <f t="shared" si="12"/>
        <v>2.4936000000000003</v>
      </c>
      <c r="M150" s="10">
        <f t="shared" si="16"/>
        <v>1.9184999999999999</v>
      </c>
      <c r="N150" s="10">
        <f t="shared" si="13"/>
        <v>15.347999999999999</v>
      </c>
      <c r="O150" s="10">
        <f t="shared" si="17"/>
        <v>0.76980000000000004</v>
      </c>
      <c r="P150" s="10">
        <f t="shared" si="14"/>
        <v>6.1584000000000003</v>
      </c>
    </row>
    <row r="151" spans="2:16" ht="10.5" customHeight="1" x14ac:dyDescent="0.2">
      <c r="B151" s="39"/>
      <c r="C151" s="39"/>
      <c r="D151" s="39"/>
      <c r="E151" s="40" t="s">
        <v>164</v>
      </c>
      <c r="F151" s="40"/>
      <c r="G151" s="3" t="s">
        <v>38</v>
      </c>
      <c r="H151" s="36">
        <v>0.6</v>
      </c>
      <c r="I151" s="35">
        <v>15</v>
      </c>
      <c r="J151" s="35">
        <v>9</v>
      </c>
      <c r="K151" s="9">
        <f t="shared" si="15"/>
        <v>6.234E-2</v>
      </c>
      <c r="L151" s="10">
        <f t="shared" si="12"/>
        <v>0.93510000000000004</v>
      </c>
      <c r="M151" s="10">
        <f t="shared" si="16"/>
        <v>0.38369999999999999</v>
      </c>
      <c r="N151" s="10">
        <f t="shared" si="13"/>
        <v>5.7554999999999996</v>
      </c>
      <c r="O151" s="10">
        <f t="shared" si="17"/>
        <v>0.15395999999999999</v>
      </c>
      <c r="P151" s="10">
        <f t="shared" si="14"/>
        <v>2.3094000000000001</v>
      </c>
    </row>
    <row r="152" spans="2:16" ht="10.5" customHeight="1" x14ac:dyDescent="0.2">
      <c r="B152" s="39"/>
      <c r="C152" s="39"/>
      <c r="D152" s="39"/>
      <c r="E152" s="48" t="s">
        <v>165</v>
      </c>
      <c r="F152" s="49"/>
      <c r="G152" s="3" t="s">
        <v>16</v>
      </c>
      <c r="H152" s="36">
        <v>5</v>
      </c>
      <c r="I152" s="35">
        <v>210</v>
      </c>
      <c r="J152" s="35">
        <v>1050</v>
      </c>
      <c r="K152" s="9">
        <f t="shared" si="15"/>
        <v>0.51950000000000007</v>
      </c>
      <c r="L152" s="10">
        <f t="shared" si="12"/>
        <v>109.09500000000001</v>
      </c>
      <c r="M152" s="10">
        <f t="shared" si="16"/>
        <v>3.1974999999999998</v>
      </c>
      <c r="N152" s="10">
        <f t="shared" si="13"/>
        <v>671.47499999999991</v>
      </c>
      <c r="O152" s="10">
        <f t="shared" si="17"/>
        <v>1.2829999999999999</v>
      </c>
      <c r="P152" s="10">
        <f t="shared" si="14"/>
        <v>269.43</v>
      </c>
    </row>
    <row r="153" spans="2:16" ht="10.5" customHeight="1" x14ac:dyDescent="0.2">
      <c r="B153" s="39"/>
      <c r="C153" s="39"/>
      <c r="D153" s="39"/>
      <c r="E153" s="40" t="s">
        <v>166</v>
      </c>
      <c r="F153" s="40"/>
      <c r="G153" s="3" t="s">
        <v>38</v>
      </c>
      <c r="H153" s="36">
        <v>32.549999999999997</v>
      </c>
      <c r="I153" s="35">
        <v>18.899999999999999</v>
      </c>
      <c r="J153" s="35">
        <v>615.20000000000005</v>
      </c>
      <c r="K153" s="9">
        <f t="shared" si="15"/>
        <v>3.381945</v>
      </c>
      <c r="L153" s="10">
        <f t="shared" si="12"/>
        <v>63.919280000000008</v>
      </c>
      <c r="M153" s="10">
        <f t="shared" si="16"/>
        <v>20.815724999999997</v>
      </c>
      <c r="N153" s="10">
        <f t="shared" si="13"/>
        <v>393.42040000000003</v>
      </c>
      <c r="O153" s="10">
        <f t="shared" si="17"/>
        <v>8.3523299999999985</v>
      </c>
      <c r="P153" s="10">
        <f t="shared" si="14"/>
        <v>157.86032</v>
      </c>
    </row>
    <row r="154" spans="2:16" ht="10.5" customHeight="1" x14ac:dyDescent="0.2">
      <c r="B154" s="39"/>
      <c r="C154" s="39"/>
      <c r="D154" s="39"/>
      <c r="E154" s="48" t="s">
        <v>167</v>
      </c>
      <c r="F154" s="49"/>
      <c r="G154" s="3" t="s">
        <v>38</v>
      </c>
      <c r="H154" s="36">
        <v>655.91399999999999</v>
      </c>
      <c r="I154" s="35">
        <v>5</v>
      </c>
      <c r="J154" s="35">
        <v>3279.57</v>
      </c>
      <c r="K154" s="9">
        <f t="shared" si="15"/>
        <v>68.149464600000002</v>
      </c>
      <c r="L154" s="10">
        <f t="shared" si="12"/>
        <v>340.74732300000005</v>
      </c>
      <c r="M154" s="10">
        <f t="shared" si="16"/>
        <v>419.45700299999999</v>
      </c>
      <c r="N154" s="10">
        <f t="shared" si="13"/>
        <v>2097.2850149999999</v>
      </c>
      <c r="O154" s="10">
        <f t="shared" si="17"/>
        <v>168.30753239999999</v>
      </c>
      <c r="P154" s="10">
        <f t="shared" si="14"/>
        <v>841.53766200000007</v>
      </c>
    </row>
    <row r="155" spans="2:16" ht="10.5" customHeight="1" x14ac:dyDescent="0.2">
      <c r="B155" s="39"/>
      <c r="C155" s="39"/>
      <c r="D155" s="39"/>
      <c r="E155" s="40" t="s">
        <v>168</v>
      </c>
      <c r="F155" s="40"/>
      <c r="G155" s="3" t="s">
        <v>38</v>
      </c>
      <c r="H155" s="36">
        <v>3.57</v>
      </c>
      <c r="I155" s="35">
        <v>80</v>
      </c>
      <c r="J155" s="35">
        <v>285.60000000000002</v>
      </c>
      <c r="K155" s="9">
        <f t="shared" si="15"/>
        <v>0.370923</v>
      </c>
      <c r="L155" s="10">
        <f t="shared" si="12"/>
        <v>29.673840000000006</v>
      </c>
      <c r="M155" s="10">
        <f t="shared" si="16"/>
        <v>2.2830149999999998</v>
      </c>
      <c r="N155" s="10">
        <f t="shared" si="13"/>
        <v>182.6412</v>
      </c>
      <c r="O155" s="10">
        <f t="shared" si="17"/>
        <v>0.91606199999999993</v>
      </c>
      <c r="P155" s="10">
        <f t="shared" si="14"/>
        <v>73.284959999999998</v>
      </c>
    </row>
    <row r="156" spans="2:16" ht="10.5" customHeight="1" x14ac:dyDescent="0.2">
      <c r="B156" s="39"/>
      <c r="C156" s="39"/>
      <c r="D156" s="39"/>
      <c r="E156" s="48" t="s">
        <v>169</v>
      </c>
      <c r="F156" s="49"/>
      <c r="G156" s="3" t="s">
        <v>16</v>
      </c>
      <c r="H156" s="36">
        <v>19</v>
      </c>
      <c r="I156" s="35">
        <v>135</v>
      </c>
      <c r="J156" s="35">
        <v>2565</v>
      </c>
      <c r="K156" s="9">
        <f t="shared" si="15"/>
        <v>1.9741000000000002</v>
      </c>
      <c r="L156" s="10">
        <f t="shared" si="12"/>
        <v>266.50350000000003</v>
      </c>
      <c r="M156" s="10">
        <f t="shared" si="16"/>
        <v>12.150499999999999</v>
      </c>
      <c r="N156" s="10">
        <f t="shared" si="13"/>
        <v>1640.3174999999999</v>
      </c>
      <c r="O156" s="10">
        <f t="shared" si="17"/>
        <v>4.8754</v>
      </c>
      <c r="P156" s="10">
        <f t="shared" si="14"/>
        <v>658.17899999999997</v>
      </c>
    </row>
    <row r="157" spans="2:16" ht="10.5" customHeight="1" x14ac:dyDescent="0.2">
      <c r="B157" s="39"/>
      <c r="C157" s="39"/>
      <c r="D157" s="39"/>
      <c r="E157" s="40" t="s">
        <v>170</v>
      </c>
      <c r="F157" s="40"/>
      <c r="G157" s="3" t="s">
        <v>38</v>
      </c>
      <c r="H157" s="36">
        <v>135.03</v>
      </c>
      <c r="I157" s="35">
        <v>2</v>
      </c>
      <c r="J157" s="35">
        <v>270.06</v>
      </c>
      <c r="K157" s="9">
        <f t="shared" si="15"/>
        <v>14.029617000000002</v>
      </c>
      <c r="L157" s="10">
        <f t="shared" si="12"/>
        <v>28.059234000000004</v>
      </c>
      <c r="M157" s="10">
        <f t="shared" si="16"/>
        <v>86.351684999999989</v>
      </c>
      <c r="N157" s="10">
        <f t="shared" si="13"/>
        <v>172.70336999999998</v>
      </c>
      <c r="O157" s="10">
        <f t="shared" si="17"/>
        <v>34.648698000000003</v>
      </c>
      <c r="P157" s="10">
        <f t="shared" si="14"/>
        <v>69.297396000000006</v>
      </c>
    </row>
    <row r="158" spans="2:16" ht="10.5" customHeight="1" x14ac:dyDescent="0.2">
      <c r="B158" s="39"/>
      <c r="C158" s="39"/>
      <c r="D158" s="39"/>
      <c r="E158" s="40" t="s">
        <v>171</v>
      </c>
      <c r="F158" s="40"/>
      <c r="G158" s="3" t="s">
        <v>16</v>
      </c>
      <c r="H158" s="36">
        <v>28</v>
      </c>
      <c r="I158" s="35">
        <v>1.69</v>
      </c>
      <c r="J158" s="35">
        <v>47.32</v>
      </c>
      <c r="K158" s="9">
        <f t="shared" si="15"/>
        <v>2.9092000000000002</v>
      </c>
      <c r="L158" s="10">
        <f t="shared" si="12"/>
        <v>4.9165480000000006</v>
      </c>
      <c r="M158" s="10">
        <f t="shared" si="16"/>
        <v>17.905999999999999</v>
      </c>
      <c r="N158" s="10">
        <f t="shared" si="13"/>
        <v>30.261139999999997</v>
      </c>
      <c r="O158" s="10">
        <f t="shared" si="17"/>
        <v>7.1848000000000001</v>
      </c>
      <c r="P158" s="10">
        <f t="shared" si="14"/>
        <v>12.142312</v>
      </c>
    </row>
    <row r="159" spans="2:16" ht="10.5" customHeight="1" x14ac:dyDescent="0.2">
      <c r="B159" s="39"/>
      <c r="C159" s="39"/>
      <c r="D159" s="39"/>
      <c r="E159" s="40" t="s">
        <v>172</v>
      </c>
      <c r="F159" s="40"/>
      <c r="G159" s="3" t="s">
        <v>16</v>
      </c>
      <c r="H159" s="36">
        <v>1</v>
      </c>
      <c r="I159" s="35">
        <v>80</v>
      </c>
      <c r="J159" s="35">
        <v>80</v>
      </c>
      <c r="K159" s="9">
        <f t="shared" si="15"/>
        <v>0.10390000000000001</v>
      </c>
      <c r="L159" s="10">
        <f t="shared" si="12"/>
        <v>8.3120000000000012</v>
      </c>
      <c r="M159" s="10">
        <f t="shared" si="16"/>
        <v>0.63949999999999996</v>
      </c>
      <c r="N159" s="10">
        <f t="shared" si="13"/>
        <v>51.16</v>
      </c>
      <c r="O159" s="10">
        <f t="shared" si="17"/>
        <v>0.25659999999999999</v>
      </c>
      <c r="P159" s="10">
        <f t="shared" si="14"/>
        <v>20.527999999999999</v>
      </c>
    </row>
    <row r="160" spans="2:16" ht="10.5" customHeight="1" x14ac:dyDescent="0.2">
      <c r="B160" s="39"/>
      <c r="C160" s="39"/>
      <c r="D160" s="39"/>
      <c r="E160" s="40" t="s">
        <v>173</v>
      </c>
      <c r="F160" s="40"/>
      <c r="G160" s="3" t="s">
        <v>16</v>
      </c>
      <c r="H160" s="36">
        <v>16</v>
      </c>
      <c r="I160" s="35">
        <v>5</v>
      </c>
      <c r="J160" s="35">
        <v>80</v>
      </c>
      <c r="K160" s="9">
        <f t="shared" si="15"/>
        <v>1.6624000000000001</v>
      </c>
      <c r="L160" s="10">
        <f t="shared" si="12"/>
        <v>8.3120000000000012</v>
      </c>
      <c r="M160" s="10">
        <f t="shared" si="16"/>
        <v>10.231999999999999</v>
      </c>
      <c r="N160" s="10">
        <f t="shared" si="13"/>
        <v>51.16</v>
      </c>
      <c r="O160" s="10">
        <f t="shared" si="17"/>
        <v>4.1055999999999999</v>
      </c>
      <c r="P160" s="10">
        <f t="shared" si="14"/>
        <v>20.527999999999999</v>
      </c>
    </row>
    <row r="161" spans="2:16" ht="10.5" customHeight="1" x14ac:dyDescent="0.2">
      <c r="B161" s="39"/>
      <c r="C161" s="39"/>
      <c r="D161" s="39"/>
      <c r="E161" s="40" t="s">
        <v>174</v>
      </c>
      <c r="F161" s="40"/>
      <c r="G161" s="3" t="s">
        <v>16</v>
      </c>
      <c r="H161" s="36">
        <v>51</v>
      </c>
      <c r="I161" s="35">
        <v>12</v>
      </c>
      <c r="J161" s="35">
        <v>612</v>
      </c>
      <c r="K161" s="9">
        <f t="shared" si="15"/>
        <v>5.2989000000000006</v>
      </c>
      <c r="L161" s="10">
        <f t="shared" si="12"/>
        <v>63.586800000000004</v>
      </c>
      <c r="M161" s="10">
        <f t="shared" si="16"/>
        <v>32.6145</v>
      </c>
      <c r="N161" s="10">
        <f t="shared" si="13"/>
        <v>391.37399999999997</v>
      </c>
      <c r="O161" s="10">
        <f t="shared" si="17"/>
        <v>13.086599999999999</v>
      </c>
      <c r="P161" s="10">
        <f t="shared" si="14"/>
        <v>157.03919999999999</v>
      </c>
    </row>
    <row r="162" spans="2:16" ht="10.5" customHeight="1" x14ac:dyDescent="0.2">
      <c r="B162" s="39"/>
      <c r="C162" s="39"/>
      <c r="D162" s="39"/>
      <c r="E162" s="40" t="s">
        <v>175</v>
      </c>
      <c r="F162" s="40"/>
      <c r="G162" s="3" t="s">
        <v>16</v>
      </c>
      <c r="H162" s="36">
        <v>99</v>
      </c>
      <c r="I162" s="35">
        <v>5</v>
      </c>
      <c r="J162" s="35">
        <v>495</v>
      </c>
      <c r="K162" s="9">
        <f t="shared" si="15"/>
        <v>10.286100000000001</v>
      </c>
      <c r="L162" s="10">
        <f t="shared" si="12"/>
        <v>51.430500000000002</v>
      </c>
      <c r="M162" s="10">
        <f t="shared" si="16"/>
        <v>63.310499999999998</v>
      </c>
      <c r="N162" s="10">
        <f t="shared" si="13"/>
        <v>316.55249999999995</v>
      </c>
      <c r="O162" s="10">
        <f t="shared" si="17"/>
        <v>25.403399999999998</v>
      </c>
      <c r="P162" s="10">
        <f t="shared" si="14"/>
        <v>127.017</v>
      </c>
    </row>
    <row r="163" spans="2:16" ht="10.5" customHeight="1" x14ac:dyDescent="0.2">
      <c r="B163" s="39"/>
      <c r="C163" s="39"/>
      <c r="D163" s="39"/>
      <c r="E163" s="40" t="s">
        <v>176</v>
      </c>
      <c r="F163" s="40"/>
      <c r="G163" s="3" t="s">
        <v>16</v>
      </c>
      <c r="H163" s="36">
        <v>2</v>
      </c>
      <c r="I163" s="35">
        <v>8</v>
      </c>
      <c r="J163" s="35">
        <v>16</v>
      </c>
      <c r="K163" s="9">
        <f t="shared" si="15"/>
        <v>0.20780000000000001</v>
      </c>
      <c r="L163" s="10">
        <f t="shared" si="12"/>
        <v>1.6624000000000001</v>
      </c>
      <c r="M163" s="10">
        <f t="shared" si="16"/>
        <v>1.2789999999999999</v>
      </c>
      <c r="N163" s="10">
        <f t="shared" si="13"/>
        <v>10.231999999999999</v>
      </c>
      <c r="O163" s="10">
        <f t="shared" si="17"/>
        <v>0.51319999999999999</v>
      </c>
      <c r="P163" s="10">
        <f t="shared" si="14"/>
        <v>4.1055999999999999</v>
      </c>
    </row>
    <row r="164" spans="2:16" ht="10.5" customHeight="1" x14ac:dyDescent="0.2">
      <c r="B164" s="39"/>
      <c r="C164" s="39"/>
      <c r="D164" s="39"/>
      <c r="E164" s="40" t="s">
        <v>177</v>
      </c>
      <c r="F164" s="40"/>
      <c r="G164" s="3" t="s">
        <v>16</v>
      </c>
      <c r="H164" s="36">
        <v>16</v>
      </c>
      <c r="I164" s="35">
        <v>12</v>
      </c>
      <c r="J164" s="35">
        <v>192</v>
      </c>
      <c r="K164" s="9">
        <f t="shared" si="15"/>
        <v>1.6624000000000001</v>
      </c>
      <c r="L164" s="10">
        <f t="shared" si="12"/>
        <v>19.948800000000002</v>
      </c>
      <c r="M164" s="10">
        <f t="shared" si="16"/>
        <v>10.231999999999999</v>
      </c>
      <c r="N164" s="10">
        <f t="shared" si="13"/>
        <v>122.78399999999999</v>
      </c>
      <c r="O164" s="10">
        <f t="shared" si="17"/>
        <v>4.1055999999999999</v>
      </c>
      <c r="P164" s="10">
        <f t="shared" si="14"/>
        <v>49.267200000000003</v>
      </c>
    </row>
    <row r="165" spans="2:16" ht="10.5" customHeight="1" x14ac:dyDescent="0.2">
      <c r="B165" s="39"/>
      <c r="C165" s="39"/>
      <c r="D165" s="39"/>
      <c r="E165" s="40" t="s">
        <v>178</v>
      </c>
      <c r="F165" s="40"/>
      <c r="G165" s="3" t="s">
        <v>16</v>
      </c>
      <c r="H165" s="36">
        <v>10</v>
      </c>
      <c r="I165" s="35">
        <v>16</v>
      </c>
      <c r="J165" s="35">
        <v>160</v>
      </c>
      <c r="K165" s="9">
        <f t="shared" si="15"/>
        <v>1.0390000000000001</v>
      </c>
      <c r="L165" s="10">
        <f t="shared" si="12"/>
        <v>16.624000000000002</v>
      </c>
      <c r="M165" s="10">
        <f t="shared" si="16"/>
        <v>6.3949999999999996</v>
      </c>
      <c r="N165" s="10">
        <f t="shared" si="13"/>
        <v>102.32</v>
      </c>
      <c r="O165" s="10">
        <f t="shared" si="17"/>
        <v>2.5659999999999998</v>
      </c>
      <c r="P165" s="10">
        <f t="shared" si="14"/>
        <v>41.055999999999997</v>
      </c>
    </row>
    <row r="166" spans="2:16" ht="10.5" customHeight="1" x14ac:dyDescent="0.2">
      <c r="B166" s="39"/>
      <c r="C166" s="39"/>
      <c r="D166" s="39"/>
      <c r="E166" s="40" t="s">
        <v>179</v>
      </c>
      <c r="F166" s="40"/>
      <c r="G166" s="3" t="s">
        <v>16</v>
      </c>
      <c r="H166" s="36">
        <v>34</v>
      </c>
      <c r="I166" s="35">
        <v>19</v>
      </c>
      <c r="J166" s="35">
        <v>646</v>
      </c>
      <c r="K166" s="9">
        <f t="shared" si="15"/>
        <v>3.5326000000000004</v>
      </c>
      <c r="L166" s="10">
        <f t="shared" si="12"/>
        <v>67.119399999999999</v>
      </c>
      <c r="M166" s="10">
        <f t="shared" si="16"/>
        <v>21.742999999999999</v>
      </c>
      <c r="N166" s="10">
        <f t="shared" si="13"/>
        <v>413.11699999999996</v>
      </c>
      <c r="O166" s="10">
        <f t="shared" si="17"/>
        <v>8.7243999999999993</v>
      </c>
      <c r="P166" s="10">
        <f t="shared" si="14"/>
        <v>165.7636</v>
      </c>
    </row>
    <row r="167" spans="2:16" ht="10.5" customHeight="1" x14ac:dyDescent="0.2">
      <c r="B167" s="39"/>
      <c r="C167" s="39"/>
      <c r="D167" s="39"/>
      <c r="E167" s="40" t="s">
        <v>180</v>
      </c>
      <c r="F167" s="40"/>
      <c r="G167" s="3" t="s">
        <v>16</v>
      </c>
      <c r="H167" s="36">
        <v>2</v>
      </c>
      <c r="I167" s="35">
        <v>3</v>
      </c>
      <c r="J167" s="35">
        <v>6</v>
      </c>
      <c r="K167" s="9">
        <f t="shared" si="15"/>
        <v>0.20780000000000001</v>
      </c>
      <c r="L167" s="10">
        <f t="shared" si="12"/>
        <v>0.62340000000000007</v>
      </c>
      <c r="M167" s="10">
        <f t="shared" si="16"/>
        <v>1.2789999999999999</v>
      </c>
      <c r="N167" s="10">
        <f t="shared" si="13"/>
        <v>3.8369999999999997</v>
      </c>
      <c r="O167" s="10">
        <f t="shared" si="17"/>
        <v>0.51319999999999999</v>
      </c>
      <c r="P167" s="10">
        <f t="shared" si="14"/>
        <v>1.5396000000000001</v>
      </c>
    </row>
    <row r="168" spans="2:16" ht="10.5" customHeight="1" x14ac:dyDescent="0.2">
      <c r="B168" s="39"/>
      <c r="C168" s="39"/>
      <c r="D168" s="39"/>
      <c r="E168" s="40" t="s">
        <v>181</v>
      </c>
      <c r="F168" s="40"/>
      <c r="G168" s="3" t="s">
        <v>16</v>
      </c>
      <c r="H168" s="36">
        <v>16</v>
      </c>
      <c r="I168" s="35">
        <v>5</v>
      </c>
      <c r="J168" s="35">
        <v>80</v>
      </c>
      <c r="K168" s="9">
        <f t="shared" si="15"/>
        <v>1.6624000000000001</v>
      </c>
      <c r="L168" s="10">
        <f t="shared" si="12"/>
        <v>8.3120000000000012</v>
      </c>
      <c r="M168" s="10">
        <f t="shared" si="16"/>
        <v>10.231999999999999</v>
      </c>
      <c r="N168" s="10">
        <f t="shared" si="13"/>
        <v>51.16</v>
      </c>
      <c r="O168" s="10">
        <f t="shared" si="17"/>
        <v>4.1055999999999999</v>
      </c>
      <c r="P168" s="10">
        <f t="shared" si="14"/>
        <v>20.527999999999999</v>
      </c>
    </row>
    <row r="169" spans="2:16" ht="10.5" customHeight="1" x14ac:dyDescent="0.2">
      <c r="B169" s="39"/>
      <c r="C169" s="39"/>
      <c r="D169" s="39"/>
      <c r="E169" s="40" t="s">
        <v>182</v>
      </c>
      <c r="F169" s="40"/>
      <c r="G169" s="3" t="s">
        <v>16</v>
      </c>
      <c r="H169" s="36">
        <v>10</v>
      </c>
      <c r="I169" s="35">
        <v>5</v>
      </c>
      <c r="J169" s="35">
        <v>50</v>
      </c>
      <c r="K169" s="9">
        <f t="shared" si="15"/>
        <v>1.0390000000000001</v>
      </c>
      <c r="L169" s="10">
        <f t="shared" si="12"/>
        <v>5.1950000000000003</v>
      </c>
      <c r="M169" s="10">
        <f t="shared" si="16"/>
        <v>6.3949999999999996</v>
      </c>
      <c r="N169" s="10">
        <f t="shared" si="13"/>
        <v>31.974999999999998</v>
      </c>
      <c r="O169" s="10">
        <f t="shared" si="17"/>
        <v>2.5659999999999998</v>
      </c>
      <c r="P169" s="10">
        <f t="shared" si="14"/>
        <v>12.83</v>
      </c>
    </row>
    <row r="170" spans="2:16" ht="10.5" customHeight="1" x14ac:dyDescent="0.2">
      <c r="B170" s="39"/>
      <c r="C170" s="39"/>
      <c r="D170" s="39"/>
      <c r="E170" s="40" t="s">
        <v>183</v>
      </c>
      <c r="F170" s="40"/>
      <c r="G170" s="3" t="s">
        <v>16</v>
      </c>
      <c r="H170" s="36">
        <v>4</v>
      </c>
      <c r="I170" s="35">
        <v>9</v>
      </c>
      <c r="J170" s="35">
        <v>36</v>
      </c>
      <c r="K170" s="9">
        <f t="shared" si="15"/>
        <v>0.41560000000000002</v>
      </c>
      <c r="L170" s="10">
        <f t="shared" si="12"/>
        <v>3.7404000000000002</v>
      </c>
      <c r="M170" s="10">
        <f t="shared" si="16"/>
        <v>2.5579999999999998</v>
      </c>
      <c r="N170" s="10">
        <f t="shared" si="13"/>
        <v>23.021999999999998</v>
      </c>
      <c r="O170" s="10">
        <f t="shared" si="17"/>
        <v>1.0264</v>
      </c>
      <c r="P170" s="10">
        <f t="shared" si="14"/>
        <v>9.2376000000000005</v>
      </c>
    </row>
    <row r="171" spans="2:16" ht="10.5" customHeight="1" x14ac:dyDescent="0.2">
      <c r="B171" s="39"/>
      <c r="C171" s="39"/>
      <c r="D171" s="39"/>
      <c r="E171" s="40" t="s">
        <v>184</v>
      </c>
      <c r="F171" s="40"/>
      <c r="G171" s="3" t="s">
        <v>16</v>
      </c>
      <c r="H171" s="36">
        <v>15</v>
      </c>
      <c r="I171" s="35">
        <v>3</v>
      </c>
      <c r="J171" s="35">
        <v>45</v>
      </c>
      <c r="K171" s="9">
        <f t="shared" si="15"/>
        <v>1.5585</v>
      </c>
      <c r="L171" s="10">
        <f t="shared" si="12"/>
        <v>4.6755000000000004</v>
      </c>
      <c r="M171" s="10">
        <f t="shared" si="16"/>
        <v>9.5924999999999994</v>
      </c>
      <c r="N171" s="10">
        <f t="shared" si="13"/>
        <v>28.777499999999996</v>
      </c>
      <c r="O171" s="10">
        <f t="shared" si="17"/>
        <v>3.8489999999999998</v>
      </c>
      <c r="P171" s="10">
        <f t="shared" si="14"/>
        <v>11.547000000000001</v>
      </c>
    </row>
    <row r="172" spans="2:16" ht="10.5" customHeight="1" x14ac:dyDescent="0.2">
      <c r="B172" s="39"/>
      <c r="C172" s="39"/>
      <c r="D172" s="39"/>
      <c r="E172" s="40" t="s">
        <v>185</v>
      </c>
      <c r="F172" s="40"/>
      <c r="G172" s="3" t="s">
        <v>16</v>
      </c>
      <c r="H172" s="36">
        <v>9</v>
      </c>
      <c r="I172" s="35">
        <v>5</v>
      </c>
      <c r="J172" s="35">
        <v>45</v>
      </c>
      <c r="K172" s="9">
        <f t="shared" si="15"/>
        <v>0.93510000000000004</v>
      </c>
      <c r="L172" s="10">
        <f t="shared" si="12"/>
        <v>4.6755000000000004</v>
      </c>
      <c r="M172" s="10">
        <f t="shared" si="16"/>
        <v>5.7554999999999996</v>
      </c>
      <c r="N172" s="10">
        <f t="shared" si="13"/>
        <v>28.777499999999996</v>
      </c>
      <c r="O172" s="10">
        <f t="shared" si="17"/>
        <v>2.3094000000000001</v>
      </c>
      <c r="P172" s="10">
        <f t="shared" si="14"/>
        <v>11.547000000000001</v>
      </c>
    </row>
    <row r="173" spans="2:16" ht="10.5" customHeight="1" x14ac:dyDescent="0.2">
      <c r="B173" s="39"/>
      <c r="C173" s="39"/>
      <c r="D173" s="39"/>
      <c r="E173" s="40" t="s">
        <v>186</v>
      </c>
      <c r="F173" s="40"/>
      <c r="G173" s="3" t="s">
        <v>16</v>
      </c>
      <c r="H173" s="36">
        <v>40</v>
      </c>
      <c r="I173" s="35">
        <v>7</v>
      </c>
      <c r="J173" s="35">
        <v>280</v>
      </c>
      <c r="K173" s="9">
        <f t="shared" si="15"/>
        <v>4.1560000000000006</v>
      </c>
      <c r="L173" s="10">
        <f t="shared" si="12"/>
        <v>29.092000000000002</v>
      </c>
      <c r="M173" s="10">
        <f t="shared" si="16"/>
        <v>25.58</v>
      </c>
      <c r="N173" s="10">
        <f t="shared" si="13"/>
        <v>179.06</v>
      </c>
      <c r="O173" s="10">
        <f t="shared" si="17"/>
        <v>10.263999999999999</v>
      </c>
      <c r="P173" s="10">
        <f t="shared" si="14"/>
        <v>71.847999999999999</v>
      </c>
    </row>
    <row r="174" spans="2:16" ht="10.5" customHeight="1" x14ac:dyDescent="0.2">
      <c r="B174" s="39"/>
      <c r="C174" s="39"/>
      <c r="D174" s="39"/>
      <c r="E174" s="40" t="s">
        <v>187</v>
      </c>
      <c r="F174" s="40"/>
      <c r="G174" s="3" t="s">
        <v>16</v>
      </c>
      <c r="H174" s="36">
        <v>8</v>
      </c>
      <c r="I174" s="35">
        <v>9</v>
      </c>
      <c r="J174" s="35">
        <v>72</v>
      </c>
      <c r="K174" s="9">
        <f t="shared" si="15"/>
        <v>0.83120000000000005</v>
      </c>
      <c r="L174" s="10">
        <f t="shared" si="12"/>
        <v>7.4808000000000003</v>
      </c>
      <c r="M174" s="10">
        <f t="shared" si="16"/>
        <v>5.1159999999999997</v>
      </c>
      <c r="N174" s="10">
        <f t="shared" si="13"/>
        <v>46.043999999999997</v>
      </c>
      <c r="O174" s="10">
        <f t="shared" si="17"/>
        <v>2.0528</v>
      </c>
      <c r="P174" s="10">
        <f t="shared" si="14"/>
        <v>18.475200000000001</v>
      </c>
    </row>
    <row r="175" spans="2:16" ht="10.5" customHeight="1" x14ac:dyDescent="0.2">
      <c r="B175" s="39"/>
      <c r="C175" s="39"/>
      <c r="D175" s="39"/>
      <c r="E175" s="40" t="s">
        <v>188</v>
      </c>
      <c r="F175" s="40"/>
      <c r="G175" s="3" t="s">
        <v>16</v>
      </c>
      <c r="H175" s="36">
        <v>2</v>
      </c>
      <c r="I175" s="35">
        <v>14</v>
      </c>
      <c r="J175" s="35">
        <v>28</v>
      </c>
      <c r="K175" s="9">
        <f t="shared" si="15"/>
        <v>0.20780000000000001</v>
      </c>
      <c r="L175" s="10">
        <f t="shared" si="12"/>
        <v>2.9092000000000002</v>
      </c>
      <c r="M175" s="10">
        <f t="shared" si="16"/>
        <v>1.2789999999999999</v>
      </c>
      <c r="N175" s="10">
        <f t="shared" si="13"/>
        <v>17.905999999999999</v>
      </c>
      <c r="O175" s="10">
        <f t="shared" si="17"/>
        <v>0.51319999999999999</v>
      </c>
      <c r="P175" s="10">
        <f t="shared" si="14"/>
        <v>7.1848000000000001</v>
      </c>
    </row>
    <row r="176" spans="2:16" ht="10.5" customHeight="1" x14ac:dyDescent="0.2">
      <c r="B176" s="39"/>
      <c r="C176" s="39"/>
      <c r="D176" s="39"/>
      <c r="E176" s="40" t="s">
        <v>189</v>
      </c>
      <c r="F176" s="40"/>
      <c r="G176" s="3" t="s">
        <v>16</v>
      </c>
      <c r="H176" s="36">
        <v>93</v>
      </c>
      <c r="I176" s="35">
        <v>3</v>
      </c>
      <c r="J176" s="35">
        <v>279</v>
      </c>
      <c r="K176" s="9">
        <f t="shared" si="15"/>
        <v>9.662700000000001</v>
      </c>
      <c r="L176" s="10">
        <f t="shared" si="12"/>
        <v>28.988100000000003</v>
      </c>
      <c r="M176" s="10">
        <f t="shared" si="16"/>
        <v>59.473499999999994</v>
      </c>
      <c r="N176" s="10">
        <f t="shared" si="13"/>
        <v>178.42049999999998</v>
      </c>
      <c r="O176" s="10">
        <f t="shared" si="17"/>
        <v>23.863800000000001</v>
      </c>
      <c r="P176" s="10">
        <f t="shared" si="14"/>
        <v>71.591399999999993</v>
      </c>
    </row>
    <row r="177" spans="2:16" ht="10.5" customHeight="1" x14ac:dyDescent="0.2">
      <c r="B177" s="39"/>
      <c r="C177" s="39"/>
      <c r="D177" s="39"/>
      <c r="E177" s="40" t="s">
        <v>190</v>
      </c>
      <c r="F177" s="40"/>
      <c r="G177" s="3" t="s">
        <v>16</v>
      </c>
      <c r="H177" s="36">
        <v>4</v>
      </c>
      <c r="I177" s="35">
        <v>5</v>
      </c>
      <c r="J177" s="35">
        <v>20</v>
      </c>
      <c r="K177" s="9">
        <f t="shared" si="15"/>
        <v>0.41560000000000002</v>
      </c>
      <c r="L177" s="10">
        <f t="shared" si="12"/>
        <v>2.0780000000000003</v>
      </c>
      <c r="M177" s="10">
        <f t="shared" si="16"/>
        <v>2.5579999999999998</v>
      </c>
      <c r="N177" s="10">
        <f t="shared" si="13"/>
        <v>12.79</v>
      </c>
      <c r="O177" s="10">
        <f t="shared" si="17"/>
        <v>1.0264</v>
      </c>
      <c r="P177" s="10">
        <f t="shared" si="14"/>
        <v>5.1319999999999997</v>
      </c>
    </row>
    <row r="178" spans="2:16" ht="10.5" customHeight="1" x14ac:dyDescent="0.2">
      <c r="B178" s="39"/>
      <c r="C178" s="39"/>
      <c r="D178" s="39"/>
      <c r="E178" s="40" t="s">
        <v>191</v>
      </c>
      <c r="F178" s="40"/>
      <c r="G178" s="3" t="s">
        <v>16</v>
      </c>
      <c r="H178" s="36">
        <v>4</v>
      </c>
      <c r="I178" s="35">
        <v>7</v>
      </c>
      <c r="J178" s="35">
        <v>28</v>
      </c>
      <c r="K178" s="9">
        <f t="shared" si="15"/>
        <v>0.41560000000000002</v>
      </c>
      <c r="L178" s="10">
        <f t="shared" si="12"/>
        <v>2.9092000000000002</v>
      </c>
      <c r="M178" s="10">
        <f t="shared" si="16"/>
        <v>2.5579999999999998</v>
      </c>
      <c r="N178" s="10">
        <f t="shared" si="13"/>
        <v>17.905999999999999</v>
      </c>
      <c r="O178" s="10">
        <f t="shared" si="17"/>
        <v>1.0264</v>
      </c>
      <c r="P178" s="10">
        <f t="shared" si="14"/>
        <v>7.1848000000000001</v>
      </c>
    </row>
    <row r="179" spans="2:16" ht="10.5" customHeight="1" x14ac:dyDescent="0.2">
      <c r="B179" s="39"/>
      <c r="C179" s="39"/>
      <c r="D179" s="39"/>
      <c r="E179" s="40" t="s">
        <v>192</v>
      </c>
      <c r="F179" s="40"/>
      <c r="G179" s="3" t="s">
        <v>16</v>
      </c>
      <c r="H179" s="36">
        <v>7</v>
      </c>
      <c r="I179" s="35">
        <v>9</v>
      </c>
      <c r="J179" s="35">
        <v>63</v>
      </c>
      <c r="K179" s="9">
        <f t="shared" si="15"/>
        <v>0.72730000000000006</v>
      </c>
      <c r="L179" s="10">
        <f t="shared" si="12"/>
        <v>6.5457000000000001</v>
      </c>
      <c r="M179" s="10">
        <f t="shared" si="16"/>
        <v>4.4764999999999997</v>
      </c>
      <c r="N179" s="10">
        <f t="shared" si="13"/>
        <v>40.288499999999999</v>
      </c>
      <c r="O179" s="10">
        <f t="shared" si="17"/>
        <v>1.7962</v>
      </c>
      <c r="P179" s="10">
        <f t="shared" si="14"/>
        <v>16.165800000000001</v>
      </c>
    </row>
    <row r="180" spans="2:16" ht="10.5" customHeight="1" x14ac:dyDescent="0.2">
      <c r="B180" s="39"/>
      <c r="C180" s="39"/>
      <c r="D180" s="39"/>
      <c r="E180" s="40" t="s">
        <v>193</v>
      </c>
      <c r="F180" s="40"/>
      <c r="G180" s="3" t="s">
        <v>16</v>
      </c>
      <c r="H180" s="36">
        <v>117</v>
      </c>
      <c r="I180" s="35">
        <v>14</v>
      </c>
      <c r="J180" s="35">
        <v>1638</v>
      </c>
      <c r="K180" s="9">
        <f t="shared" si="15"/>
        <v>12.1563</v>
      </c>
      <c r="L180" s="10">
        <f t="shared" si="12"/>
        <v>170.18820000000002</v>
      </c>
      <c r="M180" s="10">
        <f t="shared" si="16"/>
        <v>74.8215</v>
      </c>
      <c r="N180" s="10">
        <f t="shared" si="13"/>
        <v>1047.501</v>
      </c>
      <c r="O180" s="10">
        <f t="shared" si="17"/>
        <v>30.022199999999998</v>
      </c>
      <c r="P180" s="10">
        <f t="shared" si="14"/>
        <v>420.31079999999997</v>
      </c>
    </row>
    <row r="181" spans="2:16" ht="10.5" customHeight="1" x14ac:dyDescent="0.2">
      <c r="B181" s="39"/>
      <c r="C181" s="39"/>
      <c r="D181" s="39"/>
      <c r="E181" s="40" t="s">
        <v>194</v>
      </c>
      <c r="F181" s="40"/>
      <c r="G181" s="3" t="s">
        <v>16</v>
      </c>
      <c r="H181" s="36">
        <v>58</v>
      </c>
      <c r="I181" s="35">
        <v>4.5</v>
      </c>
      <c r="J181" s="35">
        <v>261</v>
      </c>
      <c r="K181" s="9">
        <f t="shared" si="15"/>
        <v>6.0262000000000002</v>
      </c>
      <c r="L181" s="10">
        <f t="shared" si="12"/>
        <v>27.117900000000002</v>
      </c>
      <c r="M181" s="10">
        <f t="shared" si="16"/>
        <v>37.090999999999994</v>
      </c>
      <c r="N181" s="10">
        <f t="shared" si="13"/>
        <v>166.90949999999998</v>
      </c>
      <c r="O181" s="10">
        <f t="shared" si="17"/>
        <v>14.8828</v>
      </c>
      <c r="P181" s="10">
        <f t="shared" si="14"/>
        <v>66.9726</v>
      </c>
    </row>
    <row r="182" spans="2:16" ht="10.5" customHeight="1" x14ac:dyDescent="0.2">
      <c r="B182" s="39"/>
      <c r="C182" s="39"/>
      <c r="D182" s="39"/>
      <c r="E182" s="40" t="s">
        <v>195</v>
      </c>
      <c r="F182" s="40"/>
      <c r="G182" s="3" t="s">
        <v>16</v>
      </c>
      <c r="H182" s="36">
        <v>4</v>
      </c>
      <c r="I182" s="35">
        <v>15.5</v>
      </c>
      <c r="J182" s="35">
        <v>62</v>
      </c>
      <c r="K182" s="9">
        <f t="shared" si="15"/>
        <v>0.41560000000000002</v>
      </c>
      <c r="L182" s="10">
        <f t="shared" si="12"/>
        <v>6.4418000000000006</v>
      </c>
      <c r="M182" s="10">
        <f t="shared" si="16"/>
        <v>2.5579999999999998</v>
      </c>
      <c r="N182" s="10">
        <f t="shared" si="13"/>
        <v>39.649000000000001</v>
      </c>
      <c r="O182" s="10">
        <f t="shared" si="17"/>
        <v>1.0264</v>
      </c>
      <c r="P182" s="10">
        <f t="shared" si="14"/>
        <v>15.9092</v>
      </c>
    </row>
    <row r="183" spans="2:16" ht="10.5" customHeight="1" x14ac:dyDescent="0.2">
      <c r="B183" s="39"/>
      <c r="C183" s="39"/>
      <c r="D183" s="39"/>
      <c r="E183" s="40" t="s">
        <v>196</v>
      </c>
      <c r="F183" s="40"/>
      <c r="G183" s="3" t="s">
        <v>16</v>
      </c>
      <c r="H183" s="36">
        <v>4</v>
      </c>
      <c r="I183" s="35">
        <v>25</v>
      </c>
      <c r="J183" s="35">
        <v>100</v>
      </c>
      <c r="K183" s="9">
        <f t="shared" si="15"/>
        <v>0.41560000000000002</v>
      </c>
      <c r="L183" s="10">
        <f t="shared" si="12"/>
        <v>10.39</v>
      </c>
      <c r="M183" s="10">
        <f t="shared" si="16"/>
        <v>2.5579999999999998</v>
      </c>
      <c r="N183" s="10">
        <f t="shared" si="13"/>
        <v>63.949999999999996</v>
      </c>
      <c r="O183" s="10">
        <f t="shared" si="17"/>
        <v>1.0264</v>
      </c>
      <c r="P183" s="10">
        <f t="shared" si="14"/>
        <v>25.66</v>
      </c>
    </row>
    <row r="184" spans="2:16" ht="10.5" customHeight="1" x14ac:dyDescent="0.2">
      <c r="B184" s="39"/>
      <c r="C184" s="39"/>
      <c r="D184" s="39"/>
      <c r="E184" s="40" t="s">
        <v>197</v>
      </c>
      <c r="F184" s="40"/>
      <c r="G184" s="3" t="s">
        <v>16</v>
      </c>
      <c r="H184" s="36">
        <v>65</v>
      </c>
      <c r="I184" s="35">
        <v>5</v>
      </c>
      <c r="J184" s="35">
        <v>325</v>
      </c>
      <c r="K184" s="9">
        <f t="shared" si="15"/>
        <v>6.7535000000000007</v>
      </c>
      <c r="L184" s="10">
        <f t="shared" si="12"/>
        <v>33.767500000000005</v>
      </c>
      <c r="M184" s="10">
        <f t="shared" si="16"/>
        <v>41.567499999999995</v>
      </c>
      <c r="N184" s="10">
        <f t="shared" si="13"/>
        <v>207.83749999999998</v>
      </c>
      <c r="O184" s="10">
        <f t="shared" si="17"/>
        <v>16.678999999999998</v>
      </c>
      <c r="P184" s="10">
        <f t="shared" si="14"/>
        <v>83.394999999999996</v>
      </c>
    </row>
    <row r="185" spans="2:16" ht="10.5" customHeight="1" x14ac:dyDescent="0.2">
      <c r="B185" s="39"/>
      <c r="C185" s="39"/>
      <c r="D185" s="39"/>
      <c r="E185" s="40" t="s">
        <v>198</v>
      </c>
      <c r="F185" s="40"/>
      <c r="G185" s="3" t="s">
        <v>16</v>
      </c>
      <c r="H185" s="36">
        <v>7</v>
      </c>
      <c r="I185" s="35">
        <v>2.5</v>
      </c>
      <c r="J185" s="35">
        <v>17.5</v>
      </c>
      <c r="K185" s="9">
        <f t="shared" si="15"/>
        <v>0.72730000000000006</v>
      </c>
      <c r="L185" s="10">
        <f t="shared" si="12"/>
        <v>1.8182500000000001</v>
      </c>
      <c r="M185" s="10">
        <f t="shared" si="16"/>
        <v>4.4764999999999997</v>
      </c>
      <c r="N185" s="10">
        <f t="shared" si="13"/>
        <v>11.19125</v>
      </c>
      <c r="O185" s="10">
        <f t="shared" si="17"/>
        <v>1.7962</v>
      </c>
      <c r="P185" s="10">
        <f t="shared" si="14"/>
        <v>4.4904999999999999</v>
      </c>
    </row>
    <row r="186" spans="2:16" ht="10.5" customHeight="1" x14ac:dyDescent="0.2">
      <c r="B186" s="39"/>
      <c r="C186" s="39"/>
      <c r="D186" s="39"/>
      <c r="E186" s="40" t="s">
        <v>199</v>
      </c>
      <c r="F186" s="40"/>
      <c r="G186" s="3" t="s">
        <v>16</v>
      </c>
      <c r="H186" s="36">
        <v>2</v>
      </c>
      <c r="I186" s="35">
        <v>3</v>
      </c>
      <c r="J186" s="35">
        <v>6</v>
      </c>
      <c r="K186" s="9">
        <f t="shared" si="15"/>
        <v>0.20780000000000001</v>
      </c>
      <c r="L186" s="10">
        <f t="shared" si="12"/>
        <v>0.62340000000000007</v>
      </c>
      <c r="M186" s="10">
        <f t="shared" si="16"/>
        <v>1.2789999999999999</v>
      </c>
      <c r="N186" s="10">
        <f t="shared" si="13"/>
        <v>3.8369999999999997</v>
      </c>
      <c r="O186" s="10">
        <f t="shared" si="17"/>
        <v>0.51319999999999999</v>
      </c>
      <c r="P186" s="10">
        <f t="shared" si="14"/>
        <v>1.5396000000000001</v>
      </c>
    </row>
    <row r="187" spans="2:16" ht="10.5" customHeight="1" x14ac:dyDescent="0.2">
      <c r="B187" s="39"/>
      <c r="C187" s="39"/>
      <c r="D187" s="39"/>
      <c r="E187" s="40" t="s">
        <v>200</v>
      </c>
      <c r="F187" s="40"/>
      <c r="G187" s="3" t="s">
        <v>16</v>
      </c>
      <c r="H187" s="36">
        <v>1</v>
      </c>
      <c r="I187" s="35">
        <v>15</v>
      </c>
      <c r="J187" s="35">
        <v>15</v>
      </c>
      <c r="K187" s="9">
        <f t="shared" si="15"/>
        <v>0.10390000000000001</v>
      </c>
      <c r="L187" s="10">
        <f t="shared" si="12"/>
        <v>1.5585</v>
      </c>
      <c r="M187" s="10">
        <f t="shared" si="16"/>
        <v>0.63949999999999996</v>
      </c>
      <c r="N187" s="10">
        <f t="shared" si="13"/>
        <v>9.5924999999999994</v>
      </c>
      <c r="O187" s="10">
        <f t="shared" si="17"/>
        <v>0.25659999999999999</v>
      </c>
      <c r="P187" s="10">
        <f t="shared" si="14"/>
        <v>3.8489999999999998</v>
      </c>
    </row>
    <row r="188" spans="2:16" ht="10.5" customHeight="1" x14ac:dyDescent="0.2">
      <c r="B188" s="39"/>
      <c r="C188" s="39"/>
      <c r="D188" s="39"/>
      <c r="E188" s="40" t="s">
        <v>201</v>
      </c>
      <c r="F188" s="40"/>
      <c r="G188" s="3" t="s">
        <v>30</v>
      </c>
      <c r="H188" s="36">
        <v>10.7164</v>
      </c>
      <c r="I188" s="35">
        <v>160</v>
      </c>
      <c r="J188" s="35">
        <v>1714.63</v>
      </c>
      <c r="K188" s="9">
        <f t="shared" si="15"/>
        <v>1.1134339600000001</v>
      </c>
      <c r="L188" s="10">
        <f t="shared" si="12"/>
        <v>178.15005700000003</v>
      </c>
      <c r="M188" s="10">
        <f t="shared" si="16"/>
        <v>6.8531377999999998</v>
      </c>
      <c r="N188" s="10">
        <f t="shared" si="13"/>
        <v>1096.505885</v>
      </c>
      <c r="O188" s="10">
        <f t="shared" si="17"/>
        <v>2.7498282399999998</v>
      </c>
      <c r="P188" s="10">
        <f t="shared" si="14"/>
        <v>439.97405800000001</v>
      </c>
    </row>
    <row r="189" spans="2:16" ht="10.5" customHeight="1" x14ac:dyDescent="0.2">
      <c r="B189" s="39"/>
      <c r="C189" s="39"/>
      <c r="D189" s="39"/>
      <c r="E189" s="40" t="s">
        <v>202</v>
      </c>
      <c r="F189" s="40"/>
      <c r="G189" s="3" t="s">
        <v>16</v>
      </c>
      <c r="H189" s="36">
        <v>4</v>
      </c>
      <c r="I189" s="35">
        <v>7</v>
      </c>
      <c r="J189" s="35">
        <v>28</v>
      </c>
      <c r="K189" s="9">
        <f t="shared" si="15"/>
        <v>0.41560000000000002</v>
      </c>
      <c r="L189" s="10">
        <f t="shared" si="12"/>
        <v>2.9092000000000002</v>
      </c>
      <c r="M189" s="10">
        <f t="shared" si="16"/>
        <v>2.5579999999999998</v>
      </c>
      <c r="N189" s="10">
        <f t="shared" si="13"/>
        <v>17.905999999999999</v>
      </c>
      <c r="O189" s="10">
        <f t="shared" si="17"/>
        <v>1.0264</v>
      </c>
      <c r="P189" s="10">
        <f t="shared" si="14"/>
        <v>7.1848000000000001</v>
      </c>
    </row>
    <row r="190" spans="2:16" ht="10.5" customHeight="1" x14ac:dyDescent="0.2">
      <c r="B190" s="39"/>
      <c r="C190" s="39"/>
      <c r="D190" s="39"/>
      <c r="E190" s="40" t="s">
        <v>203</v>
      </c>
      <c r="F190" s="40"/>
      <c r="G190" s="3" t="s">
        <v>16</v>
      </c>
      <c r="H190" s="36">
        <v>330.1</v>
      </c>
      <c r="I190" s="35">
        <v>2</v>
      </c>
      <c r="J190" s="35">
        <v>660.2</v>
      </c>
      <c r="K190" s="9">
        <f t="shared" si="15"/>
        <v>34.297390000000007</v>
      </c>
      <c r="L190" s="10">
        <f t="shared" si="12"/>
        <v>68.594780000000014</v>
      </c>
      <c r="M190" s="10">
        <f t="shared" si="16"/>
        <v>211.09895</v>
      </c>
      <c r="N190" s="10">
        <f t="shared" si="13"/>
        <v>422.1979</v>
      </c>
      <c r="O190" s="10">
        <f t="shared" si="17"/>
        <v>84.703659999999999</v>
      </c>
      <c r="P190" s="10">
        <f t="shared" si="14"/>
        <v>169.40732</v>
      </c>
    </row>
    <row r="191" spans="2:16" ht="10.5" customHeight="1" x14ac:dyDescent="0.2">
      <c r="B191" s="39"/>
      <c r="C191" s="39"/>
      <c r="D191" s="39"/>
      <c r="E191" s="40" t="s">
        <v>204</v>
      </c>
      <c r="F191" s="40"/>
      <c r="G191" s="3" t="s">
        <v>16</v>
      </c>
      <c r="H191" s="36">
        <v>45</v>
      </c>
      <c r="I191" s="35">
        <v>25</v>
      </c>
      <c r="J191" s="35">
        <v>1125</v>
      </c>
      <c r="K191" s="9">
        <f t="shared" si="15"/>
        <v>4.6755000000000004</v>
      </c>
      <c r="L191" s="10">
        <f t="shared" si="12"/>
        <v>116.8875</v>
      </c>
      <c r="M191" s="10">
        <f t="shared" si="16"/>
        <v>28.777499999999996</v>
      </c>
      <c r="N191" s="10">
        <f t="shared" si="13"/>
        <v>719.4375</v>
      </c>
      <c r="O191" s="10">
        <f t="shared" si="17"/>
        <v>11.547000000000001</v>
      </c>
      <c r="P191" s="10">
        <f t="shared" si="14"/>
        <v>288.67500000000001</v>
      </c>
    </row>
    <row r="192" spans="2:16" ht="10.5" customHeight="1" x14ac:dyDescent="0.2">
      <c r="B192" s="39"/>
      <c r="C192" s="39"/>
      <c r="D192" s="39"/>
      <c r="E192" s="40" t="s">
        <v>205</v>
      </c>
      <c r="F192" s="40"/>
      <c r="G192" s="3" t="s">
        <v>16</v>
      </c>
      <c r="H192" s="36">
        <v>21</v>
      </c>
      <c r="I192" s="35">
        <v>60</v>
      </c>
      <c r="J192" s="35">
        <v>1260</v>
      </c>
      <c r="K192" s="9">
        <f t="shared" si="15"/>
        <v>2.1819000000000002</v>
      </c>
      <c r="L192" s="10">
        <f t="shared" si="12"/>
        <v>130.91400000000002</v>
      </c>
      <c r="M192" s="10">
        <f t="shared" si="16"/>
        <v>13.429499999999999</v>
      </c>
      <c r="N192" s="10">
        <f t="shared" si="13"/>
        <v>805.77</v>
      </c>
      <c r="O192" s="10">
        <f t="shared" si="17"/>
        <v>5.3886000000000003</v>
      </c>
      <c r="P192" s="10">
        <f t="shared" si="14"/>
        <v>323.31599999999997</v>
      </c>
    </row>
    <row r="193" spans="2:16" ht="10.5" customHeight="1" x14ac:dyDescent="0.2">
      <c r="B193" s="39"/>
      <c r="C193" s="39"/>
      <c r="D193" s="39"/>
      <c r="E193" s="40" t="s">
        <v>206</v>
      </c>
      <c r="F193" s="40"/>
      <c r="G193" s="3" t="s">
        <v>16</v>
      </c>
      <c r="H193" s="36">
        <v>162</v>
      </c>
      <c r="I193" s="35">
        <v>2</v>
      </c>
      <c r="J193" s="35">
        <v>324</v>
      </c>
      <c r="K193" s="9">
        <f t="shared" si="15"/>
        <v>16.831800000000001</v>
      </c>
      <c r="L193" s="10">
        <f t="shared" si="12"/>
        <v>33.663600000000002</v>
      </c>
      <c r="M193" s="10">
        <f t="shared" si="16"/>
        <v>103.59899999999999</v>
      </c>
      <c r="N193" s="10">
        <f t="shared" si="13"/>
        <v>207.19799999999998</v>
      </c>
      <c r="O193" s="10">
        <f t="shared" si="17"/>
        <v>41.569200000000002</v>
      </c>
      <c r="P193" s="10">
        <f t="shared" si="14"/>
        <v>83.138400000000004</v>
      </c>
    </row>
    <row r="194" spans="2:16" ht="10.5" customHeight="1" x14ac:dyDescent="0.2">
      <c r="B194" s="39"/>
      <c r="C194" s="39"/>
      <c r="D194" s="39"/>
      <c r="E194" s="40" t="s">
        <v>207</v>
      </c>
      <c r="F194" s="40"/>
      <c r="G194" s="3" t="s">
        <v>16</v>
      </c>
      <c r="H194" s="36">
        <v>16</v>
      </c>
      <c r="I194" s="35">
        <v>7</v>
      </c>
      <c r="J194" s="35">
        <v>112</v>
      </c>
      <c r="K194" s="9">
        <f t="shared" si="15"/>
        <v>1.6624000000000001</v>
      </c>
      <c r="L194" s="10">
        <f t="shared" si="12"/>
        <v>11.636800000000001</v>
      </c>
      <c r="M194" s="10">
        <f t="shared" si="16"/>
        <v>10.231999999999999</v>
      </c>
      <c r="N194" s="10">
        <f t="shared" si="13"/>
        <v>71.623999999999995</v>
      </c>
      <c r="O194" s="10">
        <f t="shared" si="17"/>
        <v>4.1055999999999999</v>
      </c>
      <c r="P194" s="10">
        <f t="shared" si="14"/>
        <v>28.7392</v>
      </c>
    </row>
    <row r="195" spans="2:16" ht="10.5" customHeight="1" x14ac:dyDescent="0.2">
      <c r="B195" s="39"/>
      <c r="C195" s="39"/>
      <c r="D195" s="39"/>
      <c r="E195" s="48" t="s">
        <v>208</v>
      </c>
      <c r="F195" s="49"/>
      <c r="G195" s="3" t="s">
        <v>16</v>
      </c>
      <c r="H195" s="36">
        <v>15</v>
      </c>
      <c r="I195" s="35">
        <v>60</v>
      </c>
      <c r="J195" s="35">
        <v>900</v>
      </c>
      <c r="K195" s="9">
        <f t="shared" si="15"/>
        <v>1.5585</v>
      </c>
      <c r="L195" s="10">
        <f t="shared" si="12"/>
        <v>93.51</v>
      </c>
      <c r="M195" s="10">
        <f t="shared" si="16"/>
        <v>9.5924999999999994</v>
      </c>
      <c r="N195" s="10">
        <f t="shared" si="13"/>
        <v>575.54999999999995</v>
      </c>
      <c r="O195" s="10">
        <f t="shared" si="17"/>
        <v>3.8489999999999998</v>
      </c>
      <c r="P195" s="10">
        <f t="shared" si="14"/>
        <v>230.94</v>
      </c>
    </row>
    <row r="196" spans="2:16" ht="10.5" customHeight="1" x14ac:dyDescent="0.2">
      <c r="B196" s="39"/>
      <c r="C196" s="39"/>
      <c r="D196" s="39"/>
      <c r="E196" s="48" t="s">
        <v>209</v>
      </c>
      <c r="F196" s="49"/>
      <c r="G196" s="3" t="s">
        <v>16</v>
      </c>
      <c r="H196" s="36">
        <v>15</v>
      </c>
      <c r="I196" s="35">
        <v>50</v>
      </c>
      <c r="J196" s="35">
        <v>750</v>
      </c>
      <c r="K196" s="9">
        <f t="shared" si="15"/>
        <v>1.5585</v>
      </c>
      <c r="L196" s="10">
        <f t="shared" si="12"/>
        <v>77.925000000000011</v>
      </c>
      <c r="M196" s="10">
        <f t="shared" si="16"/>
        <v>9.5924999999999994</v>
      </c>
      <c r="N196" s="10">
        <f t="shared" si="13"/>
        <v>479.62499999999994</v>
      </c>
      <c r="O196" s="10">
        <f t="shared" si="17"/>
        <v>3.8489999999999998</v>
      </c>
      <c r="P196" s="10">
        <f t="shared" si="14"/>
        <v>192.45</v>
      </c>
    </row>
    <row r="197" spans="2:16" ht="10.5" customHeight="1" x14ac:dyDescent="0.2">
      <c r="B197" s="39"/>
      <c r="C197" s="39"/>
      <c r="D197" s="39"/>
      <c r="E197" s="40" t="s">
        <v>210</v>
      </c>
      <c r="F197" s="40"/>
      <c r="G197" s="3" t="s">
        <v>16</v>
      </c>
      <c r="H197" s="36">
        <v>120</v>
      </c>
      <c r="I197" s="35">
        <v>2</v>
      </c>
      <c r="J197" s="35">
        <v>240</v>
      </c>
      <c r="K197" s="9">
        <f t="shared" si="15"/>
        <v>12.468</v>
      </c>
      <c r="L197" s="10">
        <f t="shared" si="12"/>
        <v>24.936</v>
      </c>
      <c r="M197" s="10">
        <f t="shared" si="16"/>
        <v>76.739999999999995</v>
      </c>
      <c r="N197" s="10">
        <f t="shared" si="13"/>
        <v>153.47999999999999</v>
      </c>
      <c r="O197" s="10">
        <f t="shared" si="17"/>
        <v>30.791999999999998</v>
      </c>
      <c r="P197" s="10">
        <f t="shared" si="14"/>
        <v>61.583999999999996</v>
      </c>
    </row>
    <row r="198" spans="2:16" ht="10.5" customHeight="1" x14ac:dyDescent="0.2">
      <c r="B198" s="39"/>
      <c r="C198" s="39"/>
      <c r="D198" s="39"/>
      <c r="E198" s="48" t="s">
        <v>211</v>
      </c>
      <c r="F198" s="49"/>
      <c r="G198" s="3" t="s">
        <v>16</v>
      </c>
      <c r="H198" s="36">
        <v>2</v>
      </c>
      <c r="I198" s="35">
        <v>30</v>
      </c>
      <c r="J198" s="35">
        <v>60</v>
      </c>
      <c r="K198" s="9">
        <f t="shared" si="15"/>
        <v>0.20780000000000001</v>
      </c>
      <c r="L198" s="10">
        <f t="shared" si="12"/>
        <v>6.234</v>
      </c>
      <c r="M198" s="10">
        <f t="shared" si="16"/>
        <v>1.2789999999999999</v>
      </c>
      <c r="N198" s="10">
        <f t="shared" si="13"/>
        <v>38.369999999999997</v>
      </c>
      <c r="O198" s="10">
        <f t="shared" si="17"/>
        <v>0.51319999999999999</v>
      </c>
      <c r="P198" s="10">
        <f t="shared" si="14"/>
        <v>15.395999999999999</v>
      </c>
    </row>
    <row r="199" spans="2:16" ht="10.5" customHeight="1" x14ac:dyDescent="0.2">
      <c r="B199" s="39"/>
      <c r="C199" s="39"/>
      <c r="D199" s="39"/>
      <c r="E199" s="48" t="s">
        <v>212</v>
      </c>
      <c r="F199" s="49"/>
      <c r="G199" s="3" t="s">
        <v>16</v>
      </c>
      <c r="H199" s="36">
        <v>1</v>
      </c>
      <c r="I199" s="35">
        <v>50</v>
      </c>
      <c r="J199" s="35">
        <v>50</v>
      </c>
      <c r="K199" s="9">
        <f t="shared" si="15"/>
        <v>0.10390000000000001</v>
      </c>
      <c r="L199" s="10">
        <f t="shared" si="12"/>
        <v>5.1950000000000003</v>
      </c>
      <c r="M199" s="10">
        <f t="shared" si="16"/>
        <v>0.63949999999999996</v>
      </c>
      <c r="N199" s="10">
        <f t="shared" si="13"/>
        <v>31.974999999999998</v>
      </c>
      <c r="O199" s="10">
        <f t="shared" si="17"/>
        <v>0.25659999999999999</v>
      </c>
      <c r="P199" s="10">
        <f t="shared" si="14"/>
        <v>12.83</v>
      </c>
    </row>
    <row r="200" spans="2:16" ht="10.5" customHeight="1" x14ac:dyDescent="0.2">
      <c r="B200" s="39"/>
      <c r="C200" s="39"/>
      <c r="D200" s="39"/>
      <c r="E200" s="40" t="s">
        <v>213</v>
      </c>
      <c r="F200" s="40"/>
      <c r="G200" s="3" t="s">
        <v>16</v>
      </c>
      <c r="H200" s="36">
        <v>2</v>
      </c>
      <c r="I200" s="35">
        <v>7</v>
      </c>
      <c r="J200" s="35">
        <v>14</v>
      </c>
      <c r="K200" s="9">
        <f t="shared" si="15"/>
        <v>0.20780000000000001</v>
      </c>
      <c r="L200" s="10">
        <f t="shared" si="12"/>
        <v>1.4546000000000001</v>
      </c>
      <c r="M200" s="10">
        <f t="shared" si="16"/>
        <v>1.2789999999999999</v>
      </c>
      <c r="N200" s="10">
        <f t="shared" si="13"/>
        <v>8.9529999999999994</v>
      </c>
      <c r="O200" s="10">
        <f t="shared" si="17"/>
        <v>0.51319999999999999</v>
      </c>
      <c r="P200" s="10">
        <f t="shared" si="14"/>
        <v>3.5924</v>
      </c>
    </row>
    <row r="201" spans="2:16" ht="10.5" customHeight="1" x14ac:dyDescent="0.2">
      <c r="B201" s="39"/>
      <c r="C201" s="39"/>
      <c r="D201" s="39"/>
      <c r="E201" s="48" t="s">
        <v>214</v>
      </c>
      <c r="F201" s="49"/>
      <c r="G201" s="3" t="s">
        <v>16</v>
      </c>
      <c r="H201" s="36">
        <v>1</v>
      </c>
      <c r="I201" s="35">
        <v>60</v>
      </c>
      <c r="J201" s="35">
        <v>60</v>
      </c>
      <c r="K201" s="9">
        <f t="shared" si="15"/>
        <v>0.10390000000000001</v>
      </c>
      <c r="L201" s="10">
        <f t="shared" si="12"/>
        <v>6.234</v>
      </c>
      <c r="M201" s="10">
        <f t="shared" si="16"/>
        <v>0.63949999999999996</v>
      </c>
      <c r="N201" s="10">
        <f t="shared" si="13"/>
        <v>38.369999999999997</v>
      </c>
      <c r="O201" s="10">
        <f t="shared" si="17"/>
        <v>0.25659999999999999</v>
      </c>
      <c r="P201" s="10">
        <f t="shared" si="14"/>
        <v>15.395999999999999</v>
      </c>
    </row>
    <row r="202" spans="2:16" ht="10.5" customHeight="1" x14ac:dyDescent="0.2">
      <c r="B202" s="39"/>
      <c r="C202" s="39"/>
      <c r="D202" s="39"/>
      <c r="E202" s="40" t="s">
        <v>215</v>
      </c>
      <c r="F202" s="40"/>
      <c r="G202" s="3" t="s">
        <v>16</v>
      </c>
      <c r="H202" s="36">
        <v>3</v>
      </c>
      <c r="I202" s="35">
        <v>3.5</v>
      </c>
      <c r="J202" s="35">
        <v>10.5</v>
      </c>
      <c r="K202" s="9">
        <f t="shared" si="15"/>
        <v>0.31170000000000003</v>
      </c>
      <c r="L202" s="10">
        <f t="shared" si="12"/>
        <v>1.0909500000000001</v>
      </c>
      <c r="M202" s="10">
        <f t="shared" si="16"/>
        <v>1.9184999999999999</v>
      </c>
      <c r="N202" s="10">
        <f t="shared" si="13"/>
        <v>6.7147499999999996</v>
      </c>
      <c r="O202" s="10">
        <f t="shared" si="17"/>
        <v>0.76980000000000004</v>
      </c>
      <c r="P202" s="10">
        <f t="shared" si="14"/>
        <v>2.6943000000000001</v>
      </c>
    </row>
    <row r="203" spans="2:16" ht="10.5" customHeight="1" x14ac:dyDescent="0.2">
      <c r="B203" s="39"/>
      <c r="C203" s="39"/>
      <c r="D203" s="39"/>
      <c r="E203" s="40" t="s">
        <v>216</v>
      </c>
      <c r="F203" s="40"/>
      <c r="G203" s="3" t="s">
        <v>16</v>
      </c>
      <c r="H203" s="36">
        <v>16</v>
      </c>
      <c r="I203" s="35">
        <v>7</v>
      </c>
      <c r="J203" s="35">
        <v>112</v>
      </c>
      <c r="K203" s="9">
        <f t="shared" si="15"/>
        <v>1.6624000000000001</v>
      </c>
      <c r="L203" s="10">
        <f t="shared" si="12"/>
        <v>11.636800000000001</v>
      </c>
      <c r="M203" s="10">
        <f t="shared" si="16"/>
        <v>10.231999999999999</v>
      </c>
      <c r="N203" s="10">
        <f t="shared" si="13"/>
        <v>71.623999999999995</v>
      </c>
      <c r="O203" s="10">
        <f t="shared" si="17"/>
        <v>4.1055999999999999</v>
      </c>
      <c r="P203" s="10">
        <f t="shared" si="14"/>
        <v>28.7392</v>
      </c>
    </row>
    <row r="204" spans="2:16" ht="10.5" customHeight="1" x14ac:dyDescent="0.2">
      <c r="B204" s="39"/>
      <c r="C204" s="39"/>
      <c r="D204" s="39"/>
      <c r="E204" s="40" t="s">
        <v>217</v>
      </c>
      <c r="F204" s="40"/>
      <c r="G204" s="3" t="s">
        <v>16</v>
      </c>
      <c r="H204" s="36">
        <v>16</v>
      </c>
      <c r="I204" s="35">
        <v>5</v>
      </c>
      <c r="J204" s="35">
        <v>80</v>
      </c>
      <c r="K204" s="9">
        <f t="shared" si="15"/>
        <v>1.6624000000000001</v>
      </c>
      <c r="L204" s="10">
        <f t="shared" si="12"/>
        <v>8.3120000000000012</v>
      </c>
      <c r="M204" s="10">
        <f t="shared" si="16"/>
        <v>10.231999999999999</v>
      </c>
      <c r="N204" s="10">
        <f t="shared" si="13"/>
        <v>51.16</v>
      </c>
      <c r="O204" s="10">
        <f t="shared" si="17"/>
        <v>4.1055999999999999</v>
      </c>
      <c r="P204" s="10">
        <f t="shared" si="14"/>
        <v>20.527999999999999</v>
      </c>
    </row>
    <row r="205" spans="2:16" ht="10.5" customHeight="1" x14ac:dyDescent="0.2">
      <c r="B205" s="39"/>
      <c r="C205" s="39"/>
      <c r="D205" s="39"/>
      <c r="E205" s="40" t="s">
        <v>218</v>
      </c>
      <c r="F205" s="40"/>
      <c r="G205" s="3" t="s">
        <v>16</v>
      </c>
      <c r="H205" s="36">
        <v>3</v>
      </c>
      <c r="I205" s="35">
        <v>15</v>
      </c>
      <c r="J205" s="35">
        <v>45</v>
      </c>
      <c r="K205" s="9">
        <f t="shared" si="15"/>
        <v>0.31170000000000003</v>
      </c>
      <c r="L205" s="10">
        <f t="shared" si="12"/>
        <v>4.6755000000000004</v>
      </c>
      <c r="M205" s="10">
        <f t="shared" si="16"/>
        <v>1.9184999999999999</v>
      </c>
      <c r="N205" s="10">
        <f t="shared" si="13"/>
        <v>28.777499999999996</v>
      </c>
      <c r="O205" s="10">
        <f t="shared" si="17"/>
        <v>0.76980000000000004</v>
      </c>
      <c r="P205" s="10">
        <f t="shared" si="14"/>
        <v>11.547000000000001</v>
      </c>
    </row>
    <row r="206" spans="2:16" ht="10.5" customHeight="1" x14ac:dyDescent="0.2">
      <c r="B206" s="39"/>
      <c r="C206" s="39"/>
      <c r="D206" s="39"/>
      <c r="E206" s="40" t="s">
        <v>219</v>
      </c>
      <c r="F206" s="40"/>
      <c r="G206" s="3" t="s">
        <v>16</v>
      </c>
      <c r="H206" s="36">
        <v>13</v>
      </c>
      <c r="I206" s="35">
        <v>4</v>
      </c>
      <c r="J206" s="35">
        <v>52</v>
      </c>
      <c r="K206" s="9">
        <f t="shared" si="15"/>
        <v>1.3507</v>
      </c>
      <c r="L206" s="10">
        <f t="shared" si="12"/>
        <v>5.4028</v>
      </c>
      <c r="M206" s="10">
        <f t="shared" si="16"/>
        <v>8.3134999999999994</v>
      </c>
      <c r="N206" s="10">
        <f t="shared" si="13"/>
        <v>33.253999999999998</v>
      </c>
      <c r="O206" s="10">
        <f t="shared" si="17"/>
        <v>3.3357999999999999</v>
      </c>
      <c r="P206" s="10">
        <f t="shared" si="14"/>
        <v>13.3432</v>
      </c>
    </row>
    <row r="207" spans="2:16" ht="10.5" customHeight="1" x14ac:dyDescent="0.2">
      <c r="B207" s="39"/>
      <c r="C207" s="39"/>
      <c r="D207" s="39"/>
      <c r="E207" s="48" t="s">
        <v>220</v>
      </c>
      <c r="F207" s="49"/>
      <c r="G207" s="3" t="s">
        <v>16</v>
      </c>
      <c r="H207" s="36">
        <v>15</v>
      </c>
      <c r="I207" s="35">
        <v>15</v>
      </c>
      <c r="J207" s="35">
        <v>225</v>
      </c>
      <c r="K207" s="9">
        <f t="shared" si="15"/>
        <v>1.5585</v>
      </c>
      <c r="L207" s="10">
        <f t="shared" si="12"/>
        <v>23.377500000000001</v>
      </c>
      <c r="M207" s="10">
        <f t="shared" si="16"/>
        <v>9.5924999999999994</v>
      </c>
      <c r="N207" s="10">
        <f t="shared" si="13"/>
        <v>143.88749999999999</v>
      </c>
      <c r="O207" s="10">
        <f t="shared" si="17"/>
        <v>3.8489999999999998</v>
      </c>
      <c r="P207" s="10">
        <f t="shared" si="14"/>
        <v>57.734999999999999</v>
      </c>
    </row>
    <row r="208" spans="2:16" ht="10.5" customHeight="1" x14ac:dyDescent="0.2">
      <c r="B208" s="39"/>
      <c r="C208" s="39"/>
      <c r="D208" s="39"/>
      <c r="E208" s="40" t="s">
        <v>221</v>
      </c>
      <c r="F208" s="40"/>
      <c r="G208" s="3" t="s">
        <v>16</v>
      </c>
      <c r="H208" s="36">
        <v>2</v>
      </c>
      <c r="I208" s="35">
        <v>15</v>
      </c>
      <c r="J208" s="35">
        <v>30</v>
      </c>
      <c r="K208" s="9">
        <f t="shared" si="15"/>
        <v>0.20780000000000001</v>
      </c>
      <c r="L208" s="10">
        <f t="shared" si="12"/>
        <v>3.117</v>
      </c>
      <c r="M208" s="10">
        <f t="shared" si="16"/>
        <v>1.2789999999999999</v>
      </c>
      <c r="N208" s="10">
        <f t="shared" si="13"/>
        <v>19.184999999999999</v>
      </c>
      <c r="O208" s="10">
        <f t="shared" si="17"/>
        <v>0.51319999999999999</v>
      </c>
      <c r="P208" s="10">
        <f t="shared" si="14"/>
        <v>7.6979999999999995</v>
      </c>
    </row>
    <row r="209" spans="2:16" ht="10.5" customHeight="1" x14ac:dyDescent="0.2">
      <c r="B209" s="39"/>
      <c r="C209" s="39"/>
      <c r="D209" s="39"/>
      <c r="E209" s="40" t="s">
        <v>222</v>
      </c>
      <c r="F209" s="40"/>
      <c r="G209" s="3" t="s">
        <v>16</v>
      </c>
      <c r="H209" s="36">
        <v>5</v>
      </c>
      <c r="I209" s="35">
        <v>3</v>
      </c>
      <c r="J209" s="35">
        <v>15</v>
      </c>
      <c r="K209" s="9">
        <f t="shared" si="15"/>
        <v>0.51950000000000007</v>
      </c>
      <c r="L209" s="10">
        <f t="shared" ref="L209:L272" si="18">J209*$K$8</f>
        <v>1.5585</v>
      </c>
      <c r="M209" s="10">
        <f t="shared" si="16"/>
        <v>3.1974999999999998</v>
      </c>
      <c r="N209" s="10">
        <f t="shared" ref="N209:N272" si="19">J209*$M$8</f>
        <v>9.5924999999999994</v>
      </c>
      <c r="O209" s="10">
        <f t="shared" si="17"/>
        <v>1.2829999999999999</v>
      </c>
      <c r="P209" s="10">
        <f t="shared" ref="P209:P272" si="20">J209*$O$8</f>
        <v>3.8489999999999998</v>
      </c>
    </row>
    <row r="210" spans="2:16" ht="10.5" customHeight="1" x14ac:dyDescent="0.2">
      <c r="B210" s="39"/>
      <c r="C210" s="39"/>
      <c r="D210" s="39"/>
      <c r="E210" s="40" t="s">
        <v>223</v>
      </c>
      <c r="F210" s="40"/>
      <c r="G210" s="3" t="s">
        <v>16</v>
      </c>
      <c r="H210" s="36">
        <v>1</v>
      </c>
      <c r="I210" s="35">
        <v>3</v>
      </c>
      <c r="J210" s="35">
        <v>3</v>
      </c>
      <c r="K210" s="9">
        <f t="shared" ref="K210:K273" si="21">H210*$K$8</f>
        <v>0.10390000000000001</v>
      </c>
      <c r="L210" s="10">
        <f t="shared" si="18"/>
        <v>0.31170000000000003</v>
      </c>
      <c r="M210" s="10">
        <f t="shared" ref="M210:M273" si="22">H210*$M$8</f>
        <v>0.63949999999999996</v>
      </c>
      <c r="N210" s="10">
        <f t="shared" si="19"/>
        <v>1.9184999999999999</v>
      </c>
      <c r="O210" s="10">
        <f t="shared" ref="O210:O273" si="23">H210*$O$8</f>
        <v>0.25659999999999999</v>
      </c>
      <c r="P210" s="10">
        <f t="shared" si="20"/>
        <v>0.76980000000000004</v>
      </c>
    </row>
    <row r="211" spans="2:16" ht="10.5" customHeight="1" x14ac:dyDescent="0.2">
      <c r="B211" s="39"/>
      <c r="C211" s="39"/>
      <c r="D211" s="39"/>
      <c r="E211" s="40" t="s">
        <v>224</v>
      </c>
      <c r="F211" s="40"/>
      <c r="G211" s="3" t="s">
        <v>16</v>
      </c>
      <c r="H211" s="36">
        <v>49</v>
      </c>
      <c r="I211" s="35">
        <v>2</v>
      </c>
      <c r="J211" s="35">
        <v>98</v>
      </c>
      <c r="K211" s="9">
        <f t="shared" si="21"/>
        <v>5.0911</v>
      </c>
      <c r="L211" s="10">
        <f t="shared" si="18"/>
        <v>10.1822</v>
      </c>
      <c r="M211" s="10">
        <f t="shared" si="22"/>
        <v>31.335499999999996</v>
      </c>
      <c r="N211" s="10">
        <f t="shared" si="19"/>
        <v>62.670999999999992</v>
      </c>
      <c r="O211" s="10">
        <f t="shared" si="23"/>
        <v>12.573399999999999</v>
      </c>
      <c r="P211" s="10">
        <f t="shared" si="20"/>
        <v>25.146799999999999</v>
      </c>
    </row>
    <row r="212" spans="2:16" ht="10.5" customHeight="1" x14ac:dyDescent="0.2">
      <c r="B212" s="39"/>
      <c r="C212" s="39"/>
      <c r="D212" s="39"/>
      <c r="E212" s="40" t="s">
        <v>225</v>
      </c>
      <c r="F212" s="40"/>
      <c r="G212" s="3" t="s">
        <v>16</v>
      </c>
      <c r="H212" s="36">
        <v>2</v>
      </c>
      <c r="I212" s="35">
        <v>5</v>
      </c>
      <c r="J212" s="35">
        <v>10</v>
      </c>
      <c r="K212" s="9">
        <f t="shared" si="21"/>
        <v>0.20780000000000001</v>
      </c>
      <c r="L212" s="10">
        <f t="shared" si="18"/>
        <v>1.0390000000000001</v>
      </c>
      <c r="M212" s="10">
        <f t="shared" si="22"/>
        <v>1.2789999999999999</v>
      </c>
      <c r="N212" s="10">
        <f t="shared" si="19"/>
        <v>6.3949999999999996</v>
      </c>
      <c r="O212" s="10">
        <f t="shared" si="23"/>
        <v>0.51319999999999999</v>
      </c>
      <c r="P212" s="10">
        <f t="shared" si="20"/>
        <v>2.5659999999999998</v>
      </c>
    </row>
    <row r="213" spans="2:16" ht="10.5" customHeight="1" x14ac:dyDescent="0.2">
      <c r="B213" s="39"/>
      <c r="C213" s="39"/>
      <c r="D213" s="39"/>
      <c r="E213" s="40" t="s">
        <v>226</v>
      </c>
      <c r="F213" s="40"/>
      <c r="G213" s="3" t="s">
        <v>16</v>
      </c>
      <c r="H213" s="36">
        <v>2</v>
      </c>
      <c r="I213" s="35">
        <v>4.5</v>
      </c>
      <c r="J213" s="35">
        <v>9</v>
      </c>
      <c r="K213" s="9">
        <f t="shared" si="21"/>
        <v>0.20780000000000001</v>
      </c>
      <c r="L213" s="10">
        <f t="shared" si="18"/>
        <v>0.93510000000000004</v>
      </c>
      <c r="M213" s="10">
        <f t="shared" si="22"/>
        <v>1.2789999999999999</v>
      </c>
      <c r="N213" s="10">
        <f t="shared" si="19"/>
        <v>5.7554999999999996</v>
      </c>
      <c r="O213" s="10">
        <f t="shared" si="23"/>
        <v>0.51319999999999999</v>
      </c>
      <c r="P213" s="10">
        <f t="shared" si="20"/>
        <v>2.3094000000000001</v>
      </c>
    </row>
    <row r="214" spans="2:16" ht="10.5" customHeight="1" x14ac:dyDescent="0.2">
      <c r="B214" s="39"/>
      <c r="C214" s="39"/>
      <c r="D214" s="39"/>
      <c r="E214" s="40" t="s">
        <v>227</v>
      </c>
      <c r="F214" s="40"/>
      <c r="G214" s="3" t="s">
        <v>16</v>
      </c>
      <c r="H214" s="36">
        <v>4</v>
      </c>
      <c r="I214" s="35">
        <v>15</v>
      </c>
      <c r="J214" s="35">
        <v>60</v>
      </c>
      <c r="K214" s="9">
        <f t="shared" si="21"/>
        <v>0.41560000000000002</v>
      </c>
      <c r="L214" s="10">
        <f t="shared" si="18"/>
        <v>6.234</v>
      </c>
      <c r="M214" s="10">
        <f t="shared" si="22"/>
        <v>2.5579999999999998</v>
      </c>
      <c r="N214" s="10">
        <f t="shared" si="19"/>
        <v>38.369999999999997</v>
      </c>
      <c r="O214" s="10">
        <f t="shared" si="23"/>
        <v>1.0264</v>
      </c>
      <c r="P214" s="10">
        <f t="shared" si="20"/>
        <v>15.395999999999999</v>
      </c>
    </row>
    <row r="215" spans="2:16" ht="10.5" customHeight="1" x14ac:dyDescent="0.2">
      <c r="B215" s="39"/>
      <c r="C215" s="39"/>
      <c r="D215" s="39"/>
      <c r="E215" s="40" t="s">
        <v>228</v>
      </c>
      <c r="F215" s="40"/>
      <c r="G215" s="3" t="s">
        <v>16</v>
      </c>
      <c r="H215" s="36">
        <v>2</v>
      </c>
      <c r="I215" s="35">
        <v>14</v>
      </c>
      <c r="J215" s="35">
        <v>28</v>
      </c>
      <c r="K215" s="9">
        <f t="shared" si="21"/>
        <v>0.20780000000000001</v>
      </c>
      <c r="L215" s="10">
        <f t="shared" si="18"/>
        <v>2.9092000000000002</v>
      </c>
      <c r="M215" s="10">
        <f t="shared" si="22"/>
        <v>1.2789999999999999</v>
      </c>
      <c r="N215" s="10">
        <f t="shared" si="19"/>
        <v>17.905999999999999</v>
      </c>
      <c r="O215" s="10">
        <f t="shared" si="23"/>
        <v>0.51319999999999999</v>
      </c>
      <c r="P215" s="10">
        <f t="shared" si="20"/>
        <v>7.1848000000000001</v>
      </c>
    </row>
    <row r="216" spans="2:16" ht="10.5" customHeight="1" x14ac:dyDescent="0.2">
      <c r="B216" s="39"/>
      <c r="C216" s="39"/>
      <c r="D216" s="39"/>
      <c r="E216" s="40" t="s">
        <v>229</v>
      </c>
      <c r="F216" s="40"/>
      <c r="G216" s="3" t="s">
        <v>16</v>
      </c>
      <c r="H216" s="36">
        <v>30</v>
      </c>
      <c r="I216" s="35">
        <v>7</v>
      </c>
      <c r="J216" s="35">
        <v>210</v>
      </c>
      <c r="K216" s="9">
        <f t="shared" si="21"/>
        <v>3.117</v>
      </c>
      <c r="L216" s="10">
        <f t="shared" si="18"/>
        <v>21.819000000000003</v>
      </c>
      <c r="M216" s="10">
        <f t="shared" si="22"/>
        <v>19.184999999999999</v>
      </c>
      <c r="N216" s="10">
        <f t="shared" si="19"/>
        <v>134.29499999999999</v>
      </c>
      <c r="O216" s="10">
        <f t="shared" si="23"/>
        <v>7.6979999999999995</v>
      </c>
      <c r="P216" s="10">
        <f t="shared" si="20"/>
        <v>53.885999999999996</v>
      </c>
    </row>
    <row r="217" spans="2:16" ht="10.5" customHeight="1" x14ac:dyDescent="0.2">
      <c r="B217" s="39"/>
      <c r="C217" s="39"/>
      <c r="D217" s="39"/>
      <c r="E217" s="40" t="s">
        <v>230</v>
      </c>
      <c r="F217" s="40"/>
      <c r="G217" s="3" t="s">
        <v>16</v>
      </c>
      <c r="H217" s="36">
        <v>10</v>
      </c>
      <c r="I217" s="35">
        <v>5</v>
      </c>
      <c r="J217" s="35">
        <v>50</v>
      </c>
      <c r="K217" s="9">
        <f t="shared" si="21"/>
        <v>1.0390000000000001</v>
      </c>
      <c r="L217" s="10">
        <f t="shared" si="18"/>
        <v>5.1950000000000003</v>
      </c>
      <c r="M217" s="10">
        <f t="shared" si="22"/>
        <v>6.3949999999999996</v>
      </c>
      <c r="N217" s="10">
        <f t="shared" si="19"/>
        <v>31.974999999999998</v>
      </c>
      <c r="O217" s="10">
        <f t="shared" si="23"/>
        <v>2.5659999999999998</v>
      </c>
      <c r="P217" s="10">
        <f t="shared" si="20"/>
        <v>12.83</v>
      </c>
    </row>
    <row r="218" spans="2:16" ht="10.5" customHeight="1" x14ac:dyDescent="0.2">
      <c r="B218" s="39"/>
      <c r="C218" s="39"/>
      <c r="D218" s="39"/>
      <c r="E218" s="48" t="s">
        <v>231</v>
      </c>
      <c r="F218" s="49"/>
      <c r="G218" s="3" t="s">
        <v>16</v>
      </c>
      <c r="H218" s="36">
        <v>13</v>
      </c>
      <c r="I218" s="35">
        <v>140</v>
      </c>
      <c r="J218" s="35">
        <v>1820</v>
      </c>
      <c r="K218" s="9">
        <f t="shared" si="21"/>
        <v>1.3507</v>
      </c>
      <c r="L218" s="10">
        <f t="shared" si="18"/>
        <v>189.09800000000001</v>
      </c>
      <c r="M218" s="10">
        <f t="shared" si="22"/>
        <v>8.3134999999999994</v>
      </c>
      <c r="N218" s="10">
        <f t="shared" si="19"/>
        <v>1163.8899999999999</v>
      </c>
      <c r="O218" s="10">
        <f t="shared" si="23"/>
        <v>3.3357999999999999</v>
      </c>
      <c r="P218" s="10">
        <f t="shared" si="20"/>
        <v>467.012</v>
      </c>
    </row>
    <row r="219" spans="2:16" ht="10.5" customHeight="1" x14ac:dyDescent="0.2">
      <c r="B219" s="39"/>
      <c r="C219" s="39"/>
      <c r="D219" s="39"/>
      <c r="E219" s="40" t="s">
        <v>232</v>
      </c>
      <c r="F219" s="40"/>
      <c r="G219" s="3" t="s">
        <v>16</v>
      </c>
      <c r="H219" s="36">
        <v>1</v>
      </c>
      <c r="I219" s="35">
        <v>70</v>
      </c>
      <c r="J219" s="35">
        <v>70</v>
      </c>
      <c r="K219" s="9">
        <f t="shared" si="21"/>
        <v>0.10390000000000001</v>
      </c>
      <c r="L219" s="10">
        <f t="shared" si="18"/>
        <v>7.2730000000000006</v>
      </c>
      <c r="M219" s="10">
        <f t="shared" si="22"/>
        <v>0.63949999999999996</v>
      </c>
      <c r="N219" s="10">
        <f t="shared" si="19"/>
        <v>44.765000000000001</v>
      </c>
      <c r="O219" s="10">
        <f t="shared" si="23"/>
        <v>0.25659999999999999</v>
      </c>
      <c r="P219" s="10">
        <f t="shared" si="20"/>
        <v>17.962</v>
      </c>
    </row>
    <row r="220" spans="2:16" ht="10.5" customHeight="1" x14ac:dyDescent="0.2">
      <c r="B220" s="39"/>
      <c r="C220" s="39"/>
      <c r="D220" s="39"/>
      <c r="E220" s="40" t="s">
        <v>233</v>
      </c>
      <c r="F220" s="40"/>
      <c r="G220" s="3" t="s">
        <v>16</v>
      </c>
      <c r="H220" s="36">
        <v>1</v>
      </c>
      <c r="I220" s="35">
        <v>70</v>
      </c>
      <c r="J220" s="35">
        <v>70</v>
      </c>
      <c r="K220" s="9">
        <f t="shared" si="21"/>
        <v>0.10390000000000001</v>
      </c>
      <c r="L220" s="10">
        <f t="shared" si="18"/>
        <v>7.2730000000000006</v>
      </c>
      <c r="M220" s="10">
        <f t="shared" si="22"/>
        <v>0.63949999999999996</v>
      </c>
      <c r="N220" s="10">
        <f t="shared" si="19"/>
        <v>44.765000000000001</v>
      </c>
      <c r="O220" s="10">
        <f t="shared" si="23"/>
        <v>0.25659999999999999</v>
      </c>
      <c r="P220" s="10">
        <f t="shared" si="20"/>
        <v>17.962</v>
      </c>
    </row>
    <row r="221" spans="2:16" ht="10.5" customHeight="1" x14ac:dyDescent="0.2">
      <c r="B221" s="39"/>
      <c r="C221" s="39"/>
      <c r="D221" s="39"/>
      <c r="E221" s="48" t="s">
        <v>234</v>
      </c>
      <c r="F221" s="49"/>
      <c r="G221" s="3" t="s">
        <v>16</v>
      </c>
      <c r="H221" s="36">
        <v>1</v>
      </c>
      <c r="I221" s="35">
        <v>70</v>
      </c>
      <c r="J221" s="35">
        <v>70</v>
      </c>
      <c r="K221" s="9">
        <f t="shared" si="21"/>
        <v>0.10390000000000001</v>
      </c>
      <c r="L221" s="10">
        <f t="shared" si="18"/>
        <v>7.2730000000000006</v>
      </c>
      <c r="M221" s="10">
        <f t="shared" si="22"/>
        <v>0.63949999999999996</v>
      </c>
      <c r="N221" s="10">
        <f t="shared" si="19"/>
        <v>44.765000000000001</v>
      </c>
      <c r="O221" s="10">
        <f t="shared" si="23"/>
        <v>0.25659999999999999</v>
      </c>
      <c r="P221" s="10">
        <f t="shared" si="20"/>
        <v>17.962</v>
      </c>
    </row>
    <row r="222" spans="2:16" ht="10.5" customHeight="1" x14ac:dyDescent="0.2">
      <c r="B222" s="39"/>
      <c r="C222" s="39"/>
      <c r="D222" s="39"/>
      <c r="E222" s="48" t="s">
        <v>235</v>
      </c>
      <c r="F222" s="49"/>
      <c r="G222" s="3" t="s">
        <v>38</v>
      </c>
      <c r="H222" s="36">
        <v>24</v>
      </c>
      <c r="I222" s="35">
        <v>10</v>
      </c>
      <c r="J222" s="35">
        <v>240</v>
      </c>
      <c r="K222" s="9">
        <f t="shared" si="21"/>
        <v>2.4936000000000003</v>
      </c>
      <c r="L222" s="10">
        <f t="shared" si="18"/>
        <v>24.936</v>
      </c>
      <c r="M222" s="10">
        <f t="shared" si="22"/>
        <v>15.347999999999999</v>
      </c>
      <c r="N222" s="10">
        <f t="shared" si="19"/>
        <v>153.47999999999999</v>
      </c>
      <c r="O222" s="10">
        <f t="shared" si="23"/>
        <v>6.1584000000000003</v>
      </c>
      <c r="P222" s="10">
        <f t="shared" si="20"/>
        <v>61.583999999999996</v>
      </c>
    </row>
    <row r="223" spans="2:16" ht="10.5" customHeight="1" x14ac:dyDescent="0.2">
      <c r="B223" s="39"/>
      <c r="C223" s="39"/>
      <c r="D223" s="39"/>
      <c r="E223" s="40" t="s">
        <v>236</v>
      </c>
      <c r="F223" s="40"/>
      <c r="G223" s="3" t="s">
        <v>16</v>
      </c>
      <c r="H223" s="36">
        <v>10</v>
      </c>
      <c r="I223" s="35">
        <v>4.5</v>
      </c>
      <c r="J223" s="35">
        <v>45</v>
      </c>
      <c r="K223" s="9">
        <f t="shared" si="21"/>
        <v>1.0390000000000001</v>
      </c>
      <c r="L223" s="10">
        <f t="shared" si="18"/>
        <v>4.6755000000000004</v>
      </c>
      <c r="M223" s="10">
        <f t="shared" si="22"/>
        <v>6.3949999999999996</v>
      </c>
      <c r="N223" s="10">
        <f t="shared" si="19"/>
        <v>28.777499999999996</v>
      </c>
      <c r="O223" s="10">
        <f t="shared" si="23"/>
        <v>2.5659999999999998</v>
      </c>
      <c r="P223" s="10">
        <f t="shared" si="20"/>
        <v>11.547000000000001</v>
      </c>
    </row>
    <row r="224" spans="2:16" ht="10.5" customHeight="1" x14ac:dyDescent="0.2">
      <c r="B224" s="39"/>
      <c r="C224" s="39"/>
      <c r="D224" s="39"/>
      <c r="E224" s="48" t="s">
        <v>237</v>
      </c>
      <c r="F224" s="49"/>
      <c r="G224" s="3" t="s">
        <v>32</v>
      </c>
      <c r="H224" s="36">
        <v>1</v>
      </c>
      <c r="I224" s="35">
        <v>1000</v>
      </c>
      <c r="J224" s="35">
        <v>1000</v>
      </c>
      <c r="K224" s="9">
        <f t="shared" si="21"/>
        <v>0.10390000000000001</v>
      </c>
      <c r="L224" s="10">
        <f t="shared" si="18"/>
        <v>103.9</v>
      </c>
      <c r="M224" s="10">
        <f t="shared" si="22"/>
        <v>0.63949999999999996</v>
      </c>
      <c r="N224" s="10">
        <f t="shared" si="19"/>
        <v>639.5</v>
      </c>
      <c r="O224" s="10">
        <f t="shared" si="23"/>
        <v>0.25659999999999999</v>
      </c>
      <c r="P224" s="10">
        <f t="shared" si="20"/>
        <v>256.60000000000002</v>
      </c>
    </row>
    <row r="225" spans="2:16" ht="10.5" customHeight="1" x14ac:dyDescent="0.2">
      <c r="B225" s="39"/>
      <c r="C225" s="39"/>
      <c r="D225" s="39"/>
      <c r="E225" s="48" t="s">
        <v>238</v>
      </c>
      <c r="F225" s="49"/>
      <c r="G225" s="3" t="s">
        <v>65</v>
      </c>
      <c r="H225" s="36">
        <v>150</v>
      </c>
      <c r="I225" s="35">
        <v>5</v>
      </c>
      <c r="J225" s="35">
        <v>750</v>
      </c>
      <c r="K225" s="9">
        <f t="shared" si="21"/>
        <v>15.585000000000001</v>
      </c>
      <c r="L225" s="10">
        <f t="shared" si="18"/>
        <v>77.925000000000011</v>
      </c>
      <c r="M225" s="10">
        <f t="shared" si="22"/>
        <v>95.924999999999997</v>
      </c>
      <c r="N225" s="10">
        <f t="shared" si="19"/>
        <v>479.62499999999994</v>
      </c>
      <c r="O225" s="10">
        <f t="shared" si="23"/>
        <v>38.49</v>
      </c>
      <c r="P225" s="10">
        <f t="shared" si="20"/>
        <v>192.45</v>
      </c>
    </row>
    <row r="226" spans="2:16" ht="10.5" customHeight="1" x14ac:dyDescent="0.2">
      <c r="B226" s="39"/>
      <c r="C226" s="39"/>
      <c r="D226" s="39"/>
      <c r="E226" s="40" t="s">
        <v>239</v>
      </c>
      <c r="F226" s="40"/>
      <c r="G226" s="3" t="s">
        <v>16</v>
      </c>
      <c r="H226" s="36">
        <v>10</v>
      </c>
      <c r="I226" s="35">
        <v>8</v>
      </c>
      <c r="J226" s="35">
        <v>80</v>
      </c>
      <c r="K226" s="9">
        <f t="shared" si="21"/>
        <v>1.0390000000000001</v>
      </c>
      <c r="L226" s="10">
        <f t="shared" si="18"/>
        <v>8.3120000000000012</v>
      </c>
      <c r="M226" s="10">
        <f t="shared" si="22"/>
        <v>6.3949999999999996</v>
      </c>
      <c r="N226" s="10">
        <f t="shared" si="19"/>
        <v>51.16</v>
      </c>
      <c r="O226" s="10">
        <f t="shared" si="23"/>
        <v>2.5659999999999998</v>
      </c>
      <c r="P226" s="10">
        <f t="shared" si="20"/>
        <v>20.527999999999999</v>
      </c>
    </row>
    <row r="227" spans="2:16" ht="10.5" customHeight="1" x14ac:dyDescent="0.2">
      <c r="B227" s="39"/>
      <c r="C227" s="39"/>
      <c r="D227" s="39"/>
      <c r="E227" s="40" t="s">
        <v>240</v>
      </c>
      <c r="F227" s="40"/>
      <c r="G227" s="3" t="s">
        <v>16</v>
      </c>
      <c r="H227" s="36">
        <v>2</v>
      </c>
      <c r="I227" s="35">
        <v>3.5</v>
      </c>
      <c r="J227" s="35">
        <v>7</v>
      </c>
      <c r="K227" s="9">
        <f t="shared" si="21"/>
        <v>0.20780000000000001</v>
      </c>
      <c r="L227" s="10">
        <f t="shared" si="18"/>
        <v>0.72730000000000006</v>
      </c>
      <c r="M227" s="10">
        <f t="shared" si="22"/>
        <v>1.2789999999999999</v>
      </c>
      <c r="N227" s="10">
        <f t="shared" si="19"/>
        <v>4.4764999999999997</v>
      </c>
      <c r="O227" s="10">
        <f t="shared" si="23"/>
        <v>0.51319999999999999</v>
      </c>
      <c r="P227" s="10">
        <f t="shared" si="20"/>
        <v>1.7962</v>
      </c>
    </row>
    <row r="228" spans="2:16" ht="10.5" customHeight="1" x14ac:dyDescent="0.2">
      <c r="B228" s="39"/>
      <c r="C228" s="39"/>
      <c r="D228" s="39"/>
      <c r="E228" s="40" t="s">
        <v>241</v>
      </c>
      <c r="F228" s="40"/>
      <c r="G228" s="3" t="s">
        <v>16</v>
      </c>
      <c r="H228" s="36">
        <v>15</v>
      </c>
      <c r="I228" s="35">
        <v>8</v>
      </c>
      <c r="J228" s="35">
        <v>120</v>
      </c>
      <c r="K228" s="9">
        <f t="shared" si="21"/>
        <v>1.5585</v>
      </c>
      <c r="L228" s="10">
        <f t="shared" si="18"/>
        <v>12.468</v>
      </c>
      <c r="M228" s="10">
        <f t="shared" si="22"/>
        <v>9.5924999999999994</v>
      </c>
      <c r="N228" s="10">
        <f t="shared" si="19"/>
        <v>76.739999999999995</v>
      </c>
      <c r="O228" s="10">
        <f t="shared" si="23"/>
        <v>3.8489999999999998</v>
      </c>
      <c r="P228" s="10">
        <f t="shared" si="20"/>
        <v>30.791999999999998</v>
      </c>
    </row>
    <row r="229" spans="2:16" ht="10.5" customHeight="1" x14ac:dyDescent="0.2">
      <c r="B229" s="39"/>
      <c r="C229" s="39"/>
      <c r="D229" s="39"/>
      <c r="E229" s="40" t="s">
        <v>242</v>
      </c>
      <c r="F229" s="40"/>
      <c r="G229" s="3" t="s">
        <v>16</v>
      </c>
      <c r="H229" s="36">
        <v>2</v>
      </c>
      <c r="I229" s="35">
        <v>8</v>
      </c>
      <c r="J229" s="35">
        <v>16</v>
      </c>
      <c r="K229" s="9">
        <f t="shared" si="21"/>
        <v>0.20780000000000001</v>
      </c>
      <c r="L229" s="10">
        <f t="shared" si="18"/>
        <v>1.6624000000000001</v>
      </c>
      <c r="M229" s="10">
        <f t="shared" si="22"/>
        <v>1.2789999999999999</v>
      </c>
      <c r="N229" s="10">
        <f t="shared" si="19"/>
        <v>10.231999999999999</v>
      </c>
      <c r="O229" s="10">
        <f t="shared" si="23"/>
        <v>0.51319999999999999</v>
      </c>
      <c r="P229" s="10">
        <f t="shared" si="20"/>
        <v>4.1055999999999999</v>
      </c>
    </row>
    <row r="230" spans="2:16" ht="10.5" customHeight="1" x14ac:dyDescent="0.2">
      <c r="B230" s="39"/>
      <c r="C230" s="39"/>
      <c r="D230" s="39"/>
      <c r="E230" s="40" t="s">
        <v>243</v>
      </c>
      <c r="F230" s="40"/>
      <c r="G230" s="3" t="s">
        <v>16</v>
      </c>
      <c r="H230" s="36">
        <v>2</v>
      </c>
      <c r="I230" s="35">
        <v>5</v>
      </c>
      <c r="J230" s="35">
        <v>10</v>
      </c>
      <c r="K230" s="9">
        <f t="shared" si="21"/>
        <v>0.20780000000000001</v>
      </c>
      <c r="L230" s="10">
        <f t="shared" si="18"/>
        <v>1.0390000000000001</v>
      </c>
      <c r="M230" s="10">
        <f t="shared" si="22"/>
        <v>1.2789999999999999</v>
      </c>
      <c r="N230" s="10">
        <f t="shared" si="19"/>
        <v>6.3949999999999996</v>
      </c>
      <c r="O230" s="10">
        <f t="shared" si="23"/>
        <v>0.51319999999999999</v>
      </c>
      <c r="P230" s="10">
        <f t="shared" si="20"/>
        <v>2.5659999999999998</v>
      </c>
    </row>
    <row r="231" spans="2:16" ht="10.5" customHeight="1" x14ac:dyDescent="0.2">
      <c r="B231" s="39"/>
      <c r="C231" s="39"/>
      <c r="D231" s="39"/>
      <c r="E231" s="40" t="s">
        <v>244</v>
      </c>
      <c r="F231" s="40"/>
      <c r="G231" s="3" t="s">
        <v>16</v>
      </c>
      <c r="H231" s="36">
        <v>4</v>
      </c>
      <c r="I231" s="35">
        <v>15</v>
      </c>
      <c r="J231" s="35">
        <v>60</v>
      </c>
      <c r="K231" s="9">
        <f t="shared" si="21"/>
        <v>0.41560000000000002</v>
      </c>
      <c r="L231" s="10">
        <f t="shared" si="18"/>
        <v>6.234</v>
      </c>
      <c r="M231" s="10">
        <f t="shared" si="22"/>
        <v>2.5579999999999998</v>
      </c>
      <c r="N231" s="10">
        <f t="shared" si="19"/>
        <v>38.369999999999997</v>
      </c>
      <c r="O231" s="10">
        <f t="shared" si="23"/>
        <v>1.0264</v>
      </c>
      <c r="P231" s="10">
        <f t="shared" si="20"/>
        <v>15.395999999999999</v>
      </c>
    </row>
    <row r="232" spans="2:16" ht="10.5" customHeight="1" x14ac:dyDescent="0.2">
      <c r="B232" s="39"/>
      <c r="C232" s="39"/>
      <c r="D232" s="39"/>
      <c r="E232" s="40" t="s">
        <v>245</v>
      </c>
      <c r="F232" s="40"/>
      <c r="G232" s="3" t="s">
        <v>30</v>
      </c>
      <c r="H232" s="36">
        <v>73.780600000000007</v>
      </c>
      <c r="I232" s="35">
        <v>80</v>
      </c>
      <c r="J232" s="35">
        <v>5902.45</v>
      </c>
      <c r="K232" s="9">
        <f t="shared" si="21"/>
        <v>7.6658043400000011</v>
      </c>
      <c r="L232" s="10">
        <f t="shared" si="18"/>
        <v>613.26455499999997</v>
      </c>
      <c r="M232" s="10">
        <f t="shared" si="22"/>
        <v>47.182693700000002</v>
      </c>
      <c r="N232" s="10">
        <f t="shared" si="19"/>
        <v>3774.6167749999995</v>
      </c>
      <c r="O232" s="10">
        <f t="shared" si="23"/>
        <v>18.932101960000001</v>
      </c>
      <c r="P232" s="10">
        <f t="shared" si="20"/>
        <v>1514.5686699999999</v>
      </c>
    </row>
    <row r="233" spans="2:16" ht="10.5" customHeight="1" x14ac:dyDescent="0.2">
      <c r="B233" s="39"/>
      <c r="C233" s="39"/>
      <c r="D233" s="39"/>
      <c r="E233" s="40" t="s">
        <v>246</v>
      </c>
      <c r="F233" s="40"/>
      <c r="G233" s="3" t="s">
        <v>16</v>
      </c>
      <c r="H233" s="36">
        <v>19</v>
      </c>
      <c r="I233" s="35">
        <v>10.5</v>
      </c>
      <c r="J233" s="35">
        <v>199.5</v>
      </c>
      <c r="K233" s="9">
        <f t="shared" si="21"/>
        <v>1.9741000000000002</v>
      </c>
      <c r="L233" s="10">
        <f t="shared" si="18"/>
        <v>20.72805</v>
      </c>
      <c r="M233" s="10">
        <f t="shared" si="22"/>
        <v>12.150499999999999</v>
      </c>
      <c r="N233" s="10">
        <f t="shared" si="19"/>
        <v>127.58024999999999</v>
      </c>
      <c r="O233" s="10">
        <f t="shared" si="23"/>
        <v>4.8754</v>
      </c>
      <c r="P233" s="10">
        <f t="shared" si="20"/>
        <v>51.191699999999997</v>
      </c>
    </row>
    <row r="234" spans="2:16" ht="10.5" customHeight="1" x14ac:dyDescent="0.2">
      <c r="B234" s="39"/>
      <c r="C234" s="39"/>
      <c r="D234" s="39"/>
      <c r="E234" s="48" t="s">
        <v>247</v>
      </c>
      <c r="F234" s="49"/>
      <c r="G234" s="3" t="s">
        <v>16</v>
      </c>
      <c r="H234" s="36">
        <v>2</v>
      </c>
      <c r="I234" s="35">
        <v>19</v>
      </c>
      <c r="J234" s="35">
        <v>38</v>
      </c>
      <c r="K234" s="9">
        <f t="shared" si="21"/>
        <v>0.20780000000000001</v>
      </c>
      <c r="L234" s="10">
        <f t="shared" si="18"/>
        <v>3.9482000000000004</v>
      </c>
      <c r="M234" s="10">
        <f t="shared" si="22"/>
        <v>1.2789999999999999</v>
      </c>
      <c r="N234" s="10">
        <f t="shared" si="19"/>
        <v>24.300999999999998</v>
      </c>
      <c r="O234" s="10">
        <f t="shared" si="23"/>
        <v>0.51319999999999999</v>
      </c>
      <c r="P234" s="10">
        <f t="shared" si="20"/>
        <v>9.7507999999999999</v>
      </c>
    </row>
    <row r="235" spans="2:16" ht="10.5" customHeight="1" x14ac:dyDescent="0.2">
      <c r="B235" s="39"/>
      <c r="C235" s="39"/>
      <c r="D235" s="39"/>
      <c r="E235" s="40" t="s">
        <v>248</v>
      </c>
      <c r="F235" s="40"/>
      <c r="G235" s="3" t="s">
        <v>16</v>
      </c>
      <c r="H235" s="36">
        <v>2</v>
      </c>
      <c r="I235" s="35">
        <v>30</v>
      </c>
      <c r="J235" s="35">
        <v>60</v>
      </c>
      <c r="K235" s="9">
        <f t="shared" si="21"/>
        <v>0.20780000000000001</v>
      </c>
      <c r="L235" s="10">
        <f t="shared" si="18"/>
        <v>6.234</v>
      </c>
      <c r="M235" s="10">
        <f t="shared" si="22"/>
        <v>1.2789999999999999</v>
      </c>
      <c r="N235" s="10">
        <f t="shared" si="19"/>
        <v>38.369999999999997</v>
      </c>
      <c r="O235" s="10">
        <f t="shared" si="23"/>
        <v>0.51319999999999999</v>
      </c>
      <c r="P235" s="10">
        <f t="shared" si="20"/>
        <v>15.395999999999999</v>
      </c>
    </row>
    <row r="236" spans="2:16" ht="10.5" customHeight="1" x14ac:dyDescent="0.2">
      <c r="B236" s="39"/>
      <c r="C236" s="39"/>
      <c r="D236" s="39"/>
      <c r="E236" s="40" t="s">
        <v>249</v>
      </c>
      <c r="F236" s="40"/>
      <c r="G236" s="3" t="s">
        <v>16</v>
      </c>
      <c r="H236" s="36">
        <v>1</v>
      </c>
      <c r="I236" s="35">
        <v>2</v>
      </c>
      <c r="J236" s="35">
        <v>2</v>
      </c>
      <c r="K236" s="9">
        <f t="shared" si="21"/>
        <v>0.10390000000000001</v>
      </c>
      <c r="L236" s="10">
        <f t="shared" si="18"/>
        <v>0.20780000000000001</v>
      </c>
      <c r="M236" s="10">
        <f t="shared" si="22"/>
        <v>0.63949999999999996</v>
      </c>
      <c r="N236" s="10">
        <f t="shared" si="19"/>
        <v>1.2789999999999999</v>
      </c>
      <c r="O236" s="10">
        <f t="shared" si="23"/>
        <v>0.25659999999999999</v>
      </c>
      <c r="P236" s="10">
        <f t="shared" si="20"/>
        <v>0.51319999999999999</v>
      </c>
    </row>
    <row r="237" spans="2:16" ht="10.5" customHeight="1" x14ac:dyDescent="0.2">
      <c r="B237" s="39"/>
      <c r="C237" s="39"/>
      <c r="D237" s="39"/>
      <c r="E237" s="40" t="s">
        <v>250</v>
      </c>
      <c r="F237" s="40"/>
      <c r="G237" s="3" t="s">
        <v>16</v>
      </c>
      <c r="H237" s="36">
        <v>1</v>
      </c>
      <c r="I237" s="35">
        <v>40</v>
      </c>
      <c r="J237" s="35">
        <v>40</v>
      </c>
      <c r="K237" s="9">
        <f t="shared" si="21"/>
        <v>0.10390000000000001</v>
      </c>
      <c r="L237" s="10">
        <f t="shared" si="18"/>
        <v>4.1560000000000006</v>
      </c>
      <c r="M237" s="10">
        <f t="shared" si="22"/>
        <v>0.63949999999999996</v>
      </c>
      <c r="N237" s="10">
        <f t="shared" si="19"/>
        <v>25.58</v>
      </c>
      <c r="O237" s="10">
        <f t="shared" si="23"/>
        <v>0.25659999999999999</v>
      </c>
      <c r="P237" s="10">
        <f t="shared" si="20"/>
        <v>10.263999999999999</v>
      </c>
    </row>
    <row r="238" spans="2:16" ht="10.5" customHeight="1" x14ac:dyDescent="0.2">
      <c r="B238" s="39"/>
      <c r="C238" s="39"/>
      <c r="D238" s="39"/>
      <c r="E238" s="48" t="s">
        <v>251</v>
      </c>
      <c r="F238" s="49"/>
      <c r="G238" s="3" t="s">
        <v>16</v>
      </c>
      <c r="H238" s="36">
        <v>31</v>
      </c>
      <c r="I238" s="35">
        <v>400</v>
      </c>
      <c r="J238" s="35">
        <v>12400</v>
      </c>
      <c r="K238" s="9">
        <f t="shared" si="21"/>
        <v>3.2209000000000003</v>
      </c>
      <c r="L238" s="10">
        <f t="shared" si="18"/>
        <v>1288.3600000000001</v>
      </c>
      <c r="M238" s="10">
        <f t="shared" si="22"/>
        <v>19.8245</v>
      </c>
      <c r="N238" s="10">
        <f t="shared" si="19"/>
        <v>7929.7999999999993</v>
      </c>
      <c r="O238" s="10">
        <f t="shared" si="23"/>
        <v>7.9546000000000001</v>
      </c>
      <c r="P238" s="10">
        <f t="shared" si="20"/>
        <v>3181.84</v>
      </c>
    </row>
    <row r="239" spans="2:16" ht="10.5" customHeight="1" x14ac:dyDescent="0.2">
      <c r="B239" s="39"/>
      <c r="C239" s="39"/>
      <c r="D239" s="39"/>
      <c r="E239" s="40" t="s">
        <v>252</v>
      </c>
      <c r="F239" s="40"/>
      <c r="G239" s="3" t="s">
        <v>16</v>
      </c>
      <c r="H239" s="36">
        <v>4</v>
      </c>
      <c r="I239" s="35">
        <v>2</v>
      </c>
      <c r="J239" s="35">
        <v>8</v>
      </c>
      <c r="K239" s="9">
        <f t="shared" si="21"/>
        <v>0.41560000000000002</v>
      </c>
      <c r="L239" s="10">
        <f t="shared" si="18"/>
        <v>0.83120000000000005</v>
      </c>
      <c r="M239" s="10">
        <f t="shared" si="22"/>
        <v>2.5579999999999998</v>
      </c>
      <c r="N239" s="10">
        <f t="shared" si="19"/>
        <v>5.1159999999999997</v>
      </c>
      <c r="O239" s="10">
        <f t="shared" si="23"/>
        <v>1.0264</v>
      </c>
      <c r="P239" s="10">
        <f t="shared" si="20"/>
        <v>2.0528</v>
      </c>
    </row>
    <row r="240" spans="2:16" ht="10.5" customHeight="1" x14ac:dyDescent="0.2">
      <c r="B240" s="39"/>
      <c r="C240" s="39"/>
      <c r="D240" s="39"/>
      <c r="E240" s="40" t="s">
        <v>253</v>
      </c>
      <c r="F240" s="40"/>
      <c r="G240" s="3" t="s">
        <v>16</v>
      </c>
      <c r="H240" s="36">
        <v>1</v>
      </c>
      <c r="I240" s="35">
        <v>3</v>
      </c>
      <c r="J240" s="35">
        <v>3</v>
      </c>
      <c r="K240" s="9">
        <f t="shared" si="21"/>
        <v>0.10390000000000001</v>
      </c>
      <c r="L240" s="10">
        <f t="shared" si="18"/>
        <v>0.31170000000000003</v>
      </c>
      <c r="M240" s="10">
        <f t="shared" si="22"/>
        <v>0.63949999999999996</v>
      </c>
      <c r="N240" s="10">
        <f t="shared" si="19"/>
        <v>1.9184999999999999</v>
      </c>
      <c r="O240" s="10">
        <f t="shared" si="23"/>
        <v>0.25659999999999999</v>
      </c>
      <c r="P240" s="10">
        <f t="shared" si="20"/>
        <v>0.76980000000000004</v>
      </c>
    </row>
    <row r="241" spans="2:16" ht="10.5" customHeight="1" x14ac:dyDescent="0.2">
      <c r="B241" s="39"/>
      <c r="C241" s="39"/>
      <c r="D241" s="39"/>
      <c r="E241" s="40" t="s">
        <v>254</v>
      </c>
      <c r="F241" s="40"/>
      <c r="G241" s="3" t="s">
        <v>16</v>
      </c>
      <c r="H241" s="36">
        <v>1</v>
      </c>
      <c r="I241" s="35">
        <v>5</v>
      </c>
      <c r="J241" s="35">
        <v>5</v>
      </c>
      <c r="K241" s="9">
        <f t="shared" si="21"/>
        <v>0.10390000000000001</v>
      </c>
      <c r="L241" s="10">
        <f t="shared" si="18"/>
        <v>0.51950000000000007</v>
      </c>
      <c r="M241" s="10">
        <f t="shared" si="22"/>
        <v>0.63949999999999996</v>
      </c>
      <c r="N241" s="10">
        <f t="shared" si="19"/>
        <v>3.1974999999999998</v>
      </c>
      <c r="O241" s="10">
        <f t="shared" si="23"/>
        <v>0.25659999999999999</v>
      </c>
      <c r="P241" s="10">
        <f t="shared" si="20"/>
        <v>1.2829999999999999</v>
      </c>
    </row>
    <row r="242" spans="2:16" ht="10.5" customHeight="1" x14ac:dyDescent="0.2">
      <c r="B242" s="39"/>
      <c r="C242" s="39"/>
      <c r="D242" s="39"/>
      <c r="E242" s="40" t="s">
        <v>255</v>
      </c>
      <c r="F242" s="40"/>
      <c r="G242" s="3" t="s">
        <v>16</v>
      </c>
      <c r="H242" s="36">
        <v>2</v>
      </c>
      <c r="I242" s="35">
        <v>6</v>
      </c>
      <c r="J242" s="35">
        <v>12</v>
      </c>
      <c r="K242" s="9">
        <f t="shared" si="21"/>
        <v>0.20780000000000001</v>
      </c>
      <c r="L242" s="10">
        <f t="shared" si="18"/>
        <v>1.2468000000000001</v>
      </c>
      <c r="M242" s="10">
        <f t="shared" si="22"/>
        <v>1.2789999999999999</v>
      </c>
      <c r="N242" s="10">
        <f t="shared" si="19"/>
        <v>7.6739999999999995</v>
      </c>
      <c r="O242" s="10">
        <f t="shared" si="23"/>
        <v>0.51319999999999999</v>
      </c>
      <c r="P242" s="10">
        <f t="shared" si="20"/>
        <v>3.0792000000000002</v>
      </c>
    </row>
    <row r="243" spans="2:16" ht="10.5" customHeight="1" x14ac:dyDescent="0.2">
      <c r="B243" s="39"/>
      <c r="C243" s="39"/>
      <c r="D243" s="39"/>
      <c r="E243" s="40" t="s">
        <v>256</v>
      </c>
      <c r="F243" s="40"/>
      <c r="G243" s="3" t="s">
        <v>16</v>
      </c>
      <c r="H243" s="36">
        <v>10</v>
      </c>
      <c r="I243" s="35">
        <v>2</v>
      </c>
      <c r="J243" s="35">
        <v>20</v>
      </c>
      <c r="K243" s="9">
        <f t="shared" si="21"/>
        <v>1.0390000000000001</v>
      </c>
      <c r="L243" s="10">
        <f t="shared" si="18"/>
        <v>2.0780000000000003</v>
      </c>
      <c r="M243" s="10">
        <f t="shared" si="22"/>
        <v>6.3949999999999996</v>
      </c>
      <c r="N243" s="10">
        <f t="shared" si="19"/>
        <v>12.79</v>
      </c>
      <c r="O243" s="10">
        <f t="shared" si="23"/>
        <v>2.5659999999999998</v>
      </c>
      <c r="P243" s="10">
        <f t="shared" si="20"/>
        <v>5.1319999999999997</v>
      </c>
    </row>
    <row r="244" spans="2:16" ht="10.5" customHeight="1" x14ac:dyDescent="0.2">
      <c r="B244" s="39"/>
      <c r="C244" s="39"/>
      <c r="D244" s="39"/>
      <c r="E244" s="40" t="s">
        <v>257</v>
      </c>
      <c r="F244" s="40"/>
      <c r="G244" s="3" t="s">
        <v>16</v>
      </c>
      <c r="H244" s="36">
        <v>8</v>
      </c>
      <c r="I244" s="35">
        <v>3</v>
      </c>
      <c r="J244" s="35">
        <v>24</v>
      </c>
      <c r="K244" s="9">
        <f t="shared" si="21"/>
        <v>0.83120000000000005</v>
      </c>
      <c r="L244" s="10">
        <f t="shared" si="18"/>
        <v>2.4936000000000003</v>
      </c>
      <c r="M244" s="10">
        <f t="shared" si="22"/>
        <v>5.1159999999999997</v>
      </c>
      <c r="N244" s="10">
        <f t="shared" si="19"/>
        <v>15.347999999999999</v>
      </c>
      <c r="O244" s="10">
        <f t="shared" si="23"/>
        <v>2.0528</v>
      </c>
      <c r="P244" s="10">
        <f t="shared" si="20"/>
        <v>6.1584000000000003</v>
      </c>
    </row>
    <row r="245" spans="2:16" ht="10.5" customHeight="1" x14ac:dyDescent="0.2">
      <c r="B245" s="39"/>
      <c r="C245" s="39"/>
      <c r="D245" s="39"/>
      <c r="E245" s="40" t="s">
        <v>258</v>
      </c>
      <c r="F245" s="40"/>
      <c r="G245" s="3" t="s">
        <v>16</v>
      </c>
      <c r="H245" s="36">
        <v>3</v>
      </c>
      <c r="I245" s="35">
        <v>3</v>
      </c>
      <c r="J245" s="35">
        <v>9</v>
      </c>
      <c r="K245" s="9">
        <f t="shared" si="21"/>
        <v>0.31170000000000003</v>
      </c>
      <c r="L245" s="10">
        <f t="shared" si="18"/>
        <v>0.93510000000000004</v>
      </c>
      <c r="M245" s="10">
        <f t="shared" si="22"/>
        <v>1.9184999999999999</v>
      </c>
      <c r="N245" s="10">
        <f t="shared" si="19"/>
        <v>5.7554999999999996</v>
      </c>
      <c r="O245" s="10">
        <f t="shared" si="23"/>
        <v>0.76980000000000004</v>
      </c>
      <c r="P245" s="10">
        <f t="shared" si="20"/>
        <v>2.3094000000000001</v>
      </c>
    </row>
    <row r="246" spans="2:16" ht="10.5" customHeight="1" x14ac:dyDescent="0.2">
      <c r="B246" s="39"/>
      <c r="C246" s="39"/>
      <c r="D246" s="39"/>
      <c r="E246" s="40" t="s">
        <v>259</v>
      </c>
      <c r="F246" s="40"/>
      <c r="G246" s="3" t="s">
        <v>16</v>
      </c>
      <c r="H246" s="36">
        <v>3</v>
      </c>
      <c r="I246" s="35">
        <v>1.5</v>
      </c>
      <c r="J246" s="35">
        <v>4.5</v>
      </c>
      <c r="K246" s="9">
        <f t="shared" si="21"/>
        <v>0.31170000000000003</v>
      </c>
      <c r="L246" s="10">
        <f t="shared" si="18"/>
        <v>0.46755000000000002</v>
      </c>
      <c r="M246" s="10">
        <f t="shared" si="22"/>
        <v>1.9184999999999999</v>
      </c>
      <c r="N246" s="10">
        <f t="shared" si="19"/>
        <v>2.8777499999999998</v>
      </c>
      <c r="O246" s="10">
        <f t="shared" si="23"/>
        <v>0.76980000000000004</v>
      </c>
      <c r="P246" s="10">
        <f t="shared" si="20"/>
        <v>1.1547000000000001</v>
      </c>
    </row>
    <row r="247" spans="2:16" ht="10.5" customHeight="1" x14ac:dyDescent="0.2">
      <c r="B247" s="39"/>
      <c r="C247" s="39"/>
      <c r="D247" s="39"/>
      <c r="E247" s="40" t="s">
        <v>260</v>
      </c>
      <c r="F247" s="40"/>
      <c r="G247" s="3" t="s">
        <v>16</v>
      </c>
      <c r="H247" s="36">
        <v>3</v>
      </c>
      <c r="I247" s="35">
        <v>10</v>
      </c>
      <c r="J247" s="35">
        <v>30</v>
      </c>
      <c r="K247" s="9">
        <f t="shared" si="21"/>
        <v>0.31170000000000003</v>
      </c>
      <c r="L247" s="10">
        <f t="shared" si="18"/>
        <v>3.117</v>
      </c>
      <c r="M247" s="10">
        <f t="shared" si="22"/>
        <v>1.9184999999999999</v>
      </c>
      <c r="N247" s="10">
        <f t="shared" si="19"/>
        <v>19.184999999999999</v>
      </c>
      <c r="O247" s="10">
        <f t="shared" si="23"/>
        <v>0.76980000000000004</v>
      </c>
      <c r="P247" s="10">
        <f t="shared" si="20"/>
        <v>7.6979999999999995</v>
      </c>
    </row>
    <row r="248" spans="2:16" ht="10.5" customHeight="1" x14ac:dyDescent="0.2">
      <c r="B248" s="39"/>
      <c r="C248" s="39"/>
      <c r="D248" s="39"/>
      <c r="E248" s="48" t="s">
        <v>261</v>
      </c>
      <c r="F248" s="49"/>
      <c r="G248" s="3" t="s">
        <v>16</v>
      </c>
      <c r="H248" s="36">
        <v>3</v>
      </c>
      <c r="I248" s="35">
        <v>70</v>
      </c>
      <c r="J248" s="35">
        <v>210</v>
      </c>
      <c r="K248" s="9">
        <f t="shared" si="21"/>
        <v>0.31170000000000003</v>
      </c>
      <c r="L248" s="10">
        <f t="shared" si="18"/>
        <v>21.819000000000003</v>
      </c>
      <c r="M248" s="10">
        <f t="shared" si="22"/>
        <v>1.9184999999999999</v>
      </c>
      <c r="N248" s="10">
        <f t="shared" si="19"/>
        <v>134.29499999999999</v>
      </c>
      <c r="O248" s="10">
        <f t="shared" si="23"/>
        <v>0.76980000000000004</v>
      </c>
      <c r="P248" s="10">
        <f t="shared" si="20"/>
        <v>53.885999999999996</v>
      </c>
    </row>
    <row r="249" spans="2:16" ht="10.5" customHeight="1" x14ac:dyDescent="0.2">
      <c r="B249" s="39"/>
      <c r="C249" s="39"/>
      <c r="D249" s="39"/>
      <c r="E249" s="48" t="s">
        <v>262</v>
      </c>
      <c r="F249" s="49"/>
      <c r="G249" s="3" t="s">
        <v>16</v>
      </c>
      <c r="H249" s="36">
        <v>1</v>
      </c>
      <c r="I249" s="35">
        <v>10</v>
      </c>
      <c r="J249" s="35">
        <v>10</v>
      </c>
      <c r="K249" s="9">
        <f t="shared" si="21"/>
        <v>0.10390000000000001</v>
      </c>
      <c r="L249" s="10">
        <f t="shared" si="18"/>
        <v>1.0390000000000001</v>
      </c>
      <c r="M249" s="10">
        <f t="shared" si="22"/>
        <v>0.63949999999999996</v>
      </c>
      <c r="N249" s="10">
        <f t="shared" si="19"/>
        <v>6.3949999999999996</v>
      </c>
      <c r="O249" s="10">
        <f t="shared" si="23"/>
        <v>0.25659999999999999</v>
      </c>
      <c r="P249" s="10">
        <f t="shared" si="20"/>
        <v>2.5659999999999998</v>
      </c>
    </row>
    <row r="250" spans="2:16" ht="10.5" customHeight="1" x14ac:dyDescent="0.2">
      <c r="B250" s="39"/>
      <c r="C250" s="39"/>
      <c r="D250" s="39"/>
      <c r="E250" s="40" t="s">
        <v>263</v>
      </c>
      <c r="F250" s="40"/>
      <c r="G250" s="3" t="s">
        <v>16</v>
      </c>
      <c r="H250" s="36">
        <v>1</v>
      </c>
      <c r="I250" s="35">
        <v>7</v>
      </c>
      <c r="J250" s="35">
        <v>7</v>
      </c>
      <c r="K250" s="9">
        <f t="shared" si="21"/>
        <v>0.10390000000000001</v>
      </c>
      <c r="L250" s="10">
        <f t="shared" si="18"/>
        <v>0.72730000000000006</v>
      </c>
      <c r="M250" s="10">
        <f t="shared" si="22"/>
        <v>0.63949999999999996</v>
      </c>
      <c r="N250" s="10">
        <f t="shared" si="19"/>
        <v>4.4764999999999997</v>
      </c>
      <c r="O250" s="10">
        <f t="shared" si="23"/>
        <v>0.25659999999999999</v>
      </c>
      <c r="P250" s="10">
        <f t="shared" si="20"/>
        <v>1.7962</v>
      </c>
    </row>
    <row r="251" spans="2:16" ht="10.5" customHeight="1" x14ac:dyDescent="0.2">
      <c r="B251" s="39"/>
      <c r="C251" s="39"/>
      <c r="D251" s="39"/>
      <c r="E251" s="40" t="s">
        <v>264</v>
      </c>
      <c r="F251" s="40"/>
      <c r="G251" s="3" t="s">
        <v>16</v>
      </c>
      <c r="H251" s="36">
        <v>2</v>
      </c>
      <c r="I251" s="35">
        <v>15</v>
      </c>
      <c r="J251" s="35">
        <v>30</v>
      </c>
      <c r="K251" s="9">
        <f t="shared" si="21"/>
        <v>0.20780000000000001</v>
      </c>
      <c r="L251" s="10">
        <f t="shared" si="18"/>
        <v>3.117</v>
      </c>
      <c r="M251" s="10">
        <f t="shared" si="22"/>
        <v>1.2789999999999999</v>
      </c>
      <c r="N251" s="10">
        <f t="shared" si="19"/>
        <v>19.184999999999999</v>
      </c>
      <c r="O251" s="10">
        <f t="shared" si="23"/>
        <v>0.51319999999999999</v>
      </c>
      <c r="P251" s="10">
        <f t="shared" si="20"/>
        <v>7.6979999999999995</v>
      </c>
    </row>
    <row r="252" spans="2:16" ht="10.5" customHeight="1" x14ac:dyDescent="0.2">
      <c r="B252" s="39"/>
      <c r="C252" s="39"/>
      <c r="D252" s="39"/>
      <c r="E252" s="40" t="s">
        <v>265</v>
      </c>
      <c r="F252" s="40"/>
      <c r="G252" s="3" t="s">
        <v>16</v>
      </c>
      <c r="H252" s="36">
        <v>1</v>
      </c>
      <c r="I252" s="35">
        <v>15</v>
      </c>
      <c r="J252" s="35">
        <v>15</v>
      </c>
      <c r="K252" s="9">
        <f t="shared" si="21"/>
        <v>0.10390000000000001</v>
      </c>
      <c r="L252" s="10">
        <f t="shared" si="18"/>
        <v>1.5585</v>
      </c>
      <c r="M252" s="10">
        <f t="shared" si="22"/>
        <v>0.63949999999999996</v>
      </c>
      <c r="N252" s="10">
        <f t="shared" si="19"/>
        <v>9.5924999999999994</v>
      </c>
      <c r="O252" s="10">
        <f t="shared" si="23"/>
        <v>0.25659999999999999</v>
      </c>
      <c r="P252" s="10">
        <f t="shared" si="20"/>
        <v>3.8489999999999998</v>
      </c>
    </row>
    <row r="253" spans="2:16" ht="10.5" customHeight="1" x14ac:dyDescent="0.2">
      <c r="B253" s="39"/>
      <c r="C253" s="39"/>
      <c r="D253" s="39"/>
      <c r="E253" s="40" t="s">
        <v>266</v>
      </c>
      <c r="F253" s="40"/>
      <c r="G253" s="3" t="s">
        <v>16</v>
      </c>
      <c r="H253" s="36">
        <v>19</v>
      </c>
      <c r="I253" s="35">
        <v>5</v>
      </c>
      <c r="J253" s="35">
        <v>95</v>
      </c>
      <c r="K253" s="9">
        <f t="shared" si="21"/>
        <v>1.9741000000000002</v>
      </c>
      <c r="L253" s="10">
        <f t="shared" si="18"/>
        <v>9.8704999999999998</v>
      </c>
      <c r="M253" s="10">
        <f t="shared" si="22"/>
        <v>12.150499999999999</v>
      </c>
      <c r="N253" s="10">
        <f t="shared" si="19"/>
        <v>60.752499999999998</v>
      </c>
      <c r="O253" s="10">
        <f t="shared" si="23"/>
        <v>4.8754</v>
      </c>
      <c r="P253" s="10">
        <f t="shared" si="20"/>
        <v>24.376999999999999</v>
      </c>
    </row>
    <row r="254" spans="2:16" ht="10.5" customHeight="1" x14ac:dyDescent="0.2">
      <c r="B254" s="39"/>
      <c r="C254" s="39"/>
      <c r="D254" s="39"/>
      <c r="E254" s="48" t="s">
        <v>267</v>
      </c>
      <c r="F254" s="49"/>
      <c r="G254" s="3" t="s">
        <v>16</v>
      </c>
      <c r="H254" s="36">
        <v>2</v>
      </c>
      <c r="I254" s="35">
        <v>19</v>
      </c>
      <c r="J254" s="35">
        <v>38</v>
      </c>
      <c r="K254" s="9">
        <f t="shared" si="21"/>
        <v>0.20780000000000001</v>
      </c>
      <c r="L254" s="10">
        <f t="shared" si="18"/>
        <v>3.9482000000000004</v>
      </c>
      <c r="M254" s="10">
        <f t="shared" si="22"/>
        <v>1.2789999999999999</v>
      </c>
      <c r="N254" s="10">
        <f t="shared" si="19"/>
        <v>24.300999999999998</v>
      </c>
      <c r="O254" s="10">
        <f t="shared" si="23"/>
        <v>0.51319999999999999</v>
      </c>
      <c r="P254" s="10">
        <f t="shared" si="20"/>
        <v>9.7507999999999999</v>
      </c>
    </row>
    <row r="255" spans="2:16" ht="10.5" customHeight="1" x14ac:dyDescent="0.2">
      <c r="B255" s="39"/>
      <c r="C255" s="39"/>
      <c r="D255" s="39"/>
      <c r="E255" s="40" t="s">
        <v>268</v>
      </c>
      <c r="F255" s="40"/>
      <c r="G255" s="3" t="s">
        <v>16</v>
      </c>
      <c r="H255" s="36">
        <v>2</v>
      </c>
      <c r="I255" s="35">
        <v>4</v>
      </c>
      <c r="J255" s="35">
        <v>8</v>
      </c>
      <c r="K255" s="9">
        <f t="shared" si="21"/>
        <v>0.20780000000000001</v>
      </c>
      <c r="L255" s="10">
        <f t="shared" si="18"/>
        <v>0.83120000000000005</v>
      </c>
      <c r="M255" s="10">
        <f t="shared" si="22"/>
        <v>1.2789999999999999</v>
      </c>
      <c r="N255" s="10">
        <f t="shared" si="19"/>
        <v>5.1159999999999997</v>
      </c>
      <c r="O255" s="10">
        <f t="shared" si="23"/>
        <v>0.51319999999999999</v>
      </c>
      <c r="P255" s="10">
        <f t="shared" si="20"/>
        <v>2.0528</v>
      </c>
    </row>
    <row r="256" spans="2:16" ht="10.5" customHeight="1" x14ac:dyDescent="0.2">
      <c r="B256" s="39"/>
      <c r="C256" s="39"/>
      <c r="D256" s="39"/>
      <c r="E256" s="40" t="s">
        <v>269</v>
      </c>
      <c r="F256" s="40"/>
      <c r="G256" s="3" t="s">
        <v>16</v>
      </c>
      <c r="H256" s="36">
        <v>30</v>
      </c>
      <c r="I256" s="35">
        <v>7</v>
      </c>
      <c r="J256" s="35">
        <v>210</v>
      </c>
      <c r="K256" s="9">
        <f t="shared" si="21"/>
        <v>3.117</v>
      </c>
      <c r="L256" s="10">
        <f t="shared" si="18"/>
        <v>21.819000000000003</v>
      </c>
      <c r="M256" s="10">
        <f t="shared" si="22"/>
        <v>19.184999999999999</v>
      </c>
      <c r="N256" s="10">
        <f t="shared" si="19"/>
        <v>134.29499999999999</v>
      </c>
      <c r="O256" s="10">
        <f t="shared" si="23"/>
        <v>7.6979999999999995</v>
      </c>
      <c r="P256" s="10">
        <f t="shared" si="20"/>
        <v>53.885999999999996</v>
      </c>
    </row>
    <row r="257" spans="2:16" ht="10.5" customHeight="1" x14ac:dyDescent="0.2">
      <c r="B257" s="39"/>
      <c r="C257" s="39"/>
      <c r="D257" s="39"/>
      <c r="E257" s="40" t="s">
        <v>270</v>
      </c>
      <c r="F257" s="40"/>
      <c r="G257" s="3" t="s">
        <v>16</v>
      </c>
      <c r="H257" s="36">
        <v>60</v>
      </c>
      <c r="I257" s="35">
        <v>1.5</v>
      </c>
      <c r="J257" s="35">
        <v>90</v>
      </c>
      <c r="K257" s="9">
        <f t="shared" si="21"/>
        <v>6.234</v>
      </c>
      <c r="L257" s="10">
        <f t="shared" si="18"/>
        <v>9.3510000000000009</v>
      </c>
      <c r="M257" s="10">
        <f t="shared" si="22"/>
        <v>38.369999999999997</v>
      </c>
      <c r="N257" s="10">
        <f t="shared" si="19"/>
        <v>57.554999999999993</v>
      </c>
      <c r="O257" s="10">
        <f t="shared" si="23"/>
        <v>15.395999999999999</v>
      </c>
      <c r="P257" s="10">
        <f t="shared" si="20"/>
        <v>23.094000000000001</v>
      </c>
    </row>
    <row r="258" spans="2:16" ht="10.5" customHeight="1" x14ac:dyDescent="0.2">
      <c r="B258" s="39"/>
      <c r="C258" s="39"/>
      <c r="D258" s="39"/>
      <c r="E258" s="48" t="s">
        <v>271</v>
      </c>
      <c r="F258" s="49"/>
      <c r="G258" s="3" t="s">
        <v>16</v>
      </c>
      <c r="H258" s="36">
        <v>15</v>
      </c>
      <c r="I258" s="35">
        <v>100</v>
      </c>
      <c r="J258" s="35">
        <v>1500</v>
      </c>
      <c r="K258" s="9">
        <f t="shared" si="21"/>
        <v>1.5585</v>
      </c>
      <c r="L258" s="10">
        <f t="shared" si="18"/>
        <v>155.85000000000002</v>
      </c>
      <c r="M258" s="10">
        <f t="shared" si="22"/>
        <v>9.5924999999999994</v>
      </c>
      <c r="N258" s="10">
        <f t="shared" si="19"/>
        <v>959.24999999999989</v>
      </c>
      <c r="O258" s="10">
        <f t="shared" si="23"/>
        <v>3.8489999999999998</v>
      </c>
      <c r="P258" s="10">
        <f t="shared" si="20"/>
        <v>384.9</v>
      </c>
    </row>
    <row r="259" spans="2:16" ht="10.5" customHeight="1" x14ac:dyDescent="0.2">
      <c r="B259" s="39"/>
      <c r="C259" s="39"/>
      <c r="D259" s="39"/>
      <c r="E259" s="48" t="s">
        <v>272</v>
      </c>
      <c r="F259" s="49"/>
      <c r="G259" s="3" t="s">
        <v>16</v>
      </c>
      <c r="H259" s="36">
        <v>15</v>
      </c>
      <c r="I259" s="35">
        <v>120</v>
      </c>
      <c r="J259" s="35">
        <v>1800</v>
      </c>
      <c r="K259" s="9">
        <f t="shared" si="21"/>
        <v>1.5585</v>
      </c>
      <c r="L259" s="10">
        <f t="shared" si="18"/>
        <v>187.02</v>
      </c>
      <c r="M259" s="10">
        <f t="shared" si="22"/>
        <v>9.5924999999999994</v>
      </c>
      <c r="N259" s="10">
        <f t="shared" si="19"/>
        <v>1151.0999999999999</v>
      </c>
      <c r="O259" s="10">
        <f t="shared" si="23"/>
        <v>3.8489999999999998</v>
      </c>
      <c r="P259" s="10">
        <f t="shared" si="20"/>
        <v>461.88</v>
      </c>
    </row>
    <row r="260" spans="2:16" ht="10.5" customHeight="1" x14ac:dyDescent="0.2">
      <c r="B260" s="39"/>
      <c r="C260" s="39"/>
      <c r="D260" s="39"/>
      <c r="E260" s="48" t="s">
        <v>273</v>
      </c>
      <c r="F260" s="49"/>
      <c r="G260" s="3" t="s">
        <v>16</v>
      </c>
      <c r="H260" s="36">
        <v>15</v>
      </c>
      <c r="I260" s="35">
        <v>50</v>
      </c>
      <c r="J260" s="35">
        <v>750</v>
      </c>
      <c r="K260" s="9">
        <f t="shared" si="21"/>
        <v>1.5585</v>
      </c>
      <c r="L260" s="10">
        <f t="shared" si="18"/>
        <v>77.925000000000011</v>
      </c>
      <c r="M260" s="10">
        <f t="shared" si="22"/>
        <v>9.5924999999999994</v>
      </c>
      <c r="N260" s="10">
        <f t="shared" si="19"/>
        <v>479.62499999999994</v>
      </c>
      <c r="O260" s="10">
        <f t="shared" si="23"/>
        <v>3.8489999999999998</v>
      </c>
      <c r="P260" s="10">
        <f t="shared" si="20"/>
        <v>192.45</v>
      </c>
    </row>
    <row r="261" spans="2:16" ht="10.5" customHeight="1" x14ac:dyDescent="0.2">
      <c r="B261" s="39"/>
      <c r="C261" s="39"/>
      <c r="D261" s="39"/>
      <c r="E261" s="40" t="s">
        <v>274</v>
      </c>
      <c r="F261" s="40"/>
      <c r="G261" s="3" t="s">
        <v>16</v>
      </c>
      <c r="H261" s="36">
        <v>1</v>
      </c>
      <c r="I261" s="35">
        <v>2</v>
      </c>
      <c r="J261" s="35">
        <v>2</v>
      </c>
      <c r="K261" s="9">
        <f t="shared" si="21"/>
        <v>0.10390000000000001</v>
      </c>
      <c r="L261" s="10">
        <f t="shared" si="18"/>
        <v>0.20780000000000001</v>
      </c>
      <c r="M261" s="10">
        <f t="shared" si="22"/>
        <v>0.63949999999999996</v>
      </c>
      <c r="N261" s="10">
        <f t="shared" si="19"/>
        <v>1.2789999999999999</v>
      </c>
      <c r="O261" s="10">
        <f t="shared" si="23"/>
        <v>0.25659999999999999</v>
      </c>
      <c r="P261" s="10">
        <f t="shared" si="20"/>
        <v>0.51319999999999999</v>
      </c>
    </row>
    <row r="262" spans="2:16" ht="10.5" customHeight="1" x14ac:dyDescent="0.2">
      <c r="B262" s="39"/>
      <c r="C262" s="39"/>
      <c r="D262" s="39"/>
      <c r="E262" s="40" t="s">
        <v>275</v>
      </c>
      <c r="F262" s="40"/>
      <c r="G262" s="3" t="s">
        <v>16</v>
      </c>
      <c r="H262" s="36">
        <v>2</v>
      </c>
      <c r="I262" s="35">
        <v>6.39</v>
      </c>
      <c r="J262" s="35">
        <v>12.78</v>
      </c>
      <c r="K262" s="9">
        <f t="shared" si="21"/>
        <v>0.20780000000000001</v>
      </c>
      <c r="L262" s="10">
        <f t="shared" si="18"/>
        <v>1.327842</v>
      </c>
      <c r="M262" s="10">
        <f t="shared" si="22"/>
        <v>1.2789999999999999</v>
      </c>
      <c r="N262" s="10">
        <f t="shared" si="19"/>
        <v>8.1728099999999984</v>
      </c>
      <c r="O262" s="10">
        <f t="shared" si="23"/>
        <v>0.51319999999999999</v>
      </c>
      <c r="P262" s="10">
        <f t="shared" si="20"/>
        <v>3.2793479999999997</v>
      </c>
    </row>
    <row r="263" spans="2:16" ht="10.5" customHeight="1" x14ac:dyDescent="0.2">
      <c r="B263" s="39"/>
      <c r="C263" s="39"/>
      <c r="D263" s="39"/>
      <c r="E263" s="40" t="s">
        <v>276</v>
      </c>
      <c r="F263" s="40"/>
      <c r="G263" s="3" t="s">
        <v>16</v>
      </c>
      <c r="H263" s="36">
        <v>4</v>
      </c>
      <c r="I263" s="35">
        <v>14.24</v>
      </c>
      <c r="J263" s="35">
        <v>56.96</v>
      </c>
      <c r="K263" s="9">
        <f t="shared" si="21"/>
        <v>0.41560000000000002</v>
      </c>
      <c r="L263" s="10">
        <f t="shared" si="18"/>
        <v>5.9181440000000007</v>
      </c>
      <c r="M263" s="10">
        <f t="shared" si="22"/>
        <v>2.5579999999999998</v>
      </c>
      <c r="N263" s="10">
        <f t="shared" si="19"/>
        <v>36.425919999999998</v>
      </c>
      <c r="O263" s="10">
        <f t="shared" si="23"/>
        <v>1.0264</v>
      </c>
      <c r="P263" s="10">
        <f t="shared" si="20"/>
        <v>14.615936</v>
      </c>
    </row>
    <row r="264" spans="2:16" ht="10.5" customHeight="1" x14ac:dyDescent="0.2">
      <c r="B264" s="39"/>
      <c r="C264" s="39"/>
      <c r="D264" s="39"/>
      <c r="E264" s="40" t="s">
        <v>277</v>
      </c>
      <c r="F264" s="40"/>
      <c r="G264" s="3" t="s">
        <v>16</v>
      </c>
      <c r="H264" s="36">
        <v>7</v>
      </c>
      <c r="I264" s="35">
        <v>200</v>
      </c>
      <c r="J264" s="35">
        <v>1400</v>
      </c>
      <c r="K264" s="9">
        <f t="shared" si="21"/>
        <v>0.72730000000000006</v>
      </c>
      <c r="L264" s="10">
        <f t="shared" si="18"/>
        <v>145.46</v>
      </c>
      <c r="M264" s="10">
        <f t="shared" si="22"/>
        <v>4.4764999999999997</v>
      </c>
      <c r="N264" s="10">
        <f t="shared" si="19"/>
        <v>895.3</v>
      </c>
      <c r="O264" s="10">
        <f t="shared" si="23"/>
        <v>1.7962</v>
      </c>
      <c r="P264" s="10">
        <f t="shared" si="20"/>
        <v>359.24</v>
      </c>
    </row>
    <row r="265" spans="2:16" ht="10.5" customHeight="1" x14ac:dyDescent="0.2">
      <c r="B265" s="39"/>
      <c r="C265" s="39"/>
      <c r="D265" s="39"/>
      <c r="E265" s="40" t="s">
        <v>278</v>
      </c>
      <c r="F265" s="40"/>
      <c r="G265" s="3" t="s">
        <v>16</v>
      </c>
      <c r="H265" s="36">
        <v>16</v>
      </c>
      <c r="I265" s="35">
        <v>7</v>
      </c>
      <c r="J265" s="35">
        <v>112</v>
      </c>
      <c r="K265" s="9">
        <f t="shared" si="21"/>
        <v>1.6624000000000001</v>
      </c>
      <c r="L265" s="10">
        <f t="shared" si="18"/>
        <v>11.636800000000001</v>
      </c>
      <c r="M265" s="10">
        <f t="shared" si="22"/>
        <v>10.231999999999999</v>
      </c>
      <c r="N265" s="10">
        <f t="shared" si="19"/>
        <v>71.623999999999995</v>
      </c>
      <c r="O265" s="10">
        <f t="shared" si="23"/>
        <v>4.1055999999999999</v>
      </c>
      <c r="P265" s="10">
        <f t="shared" si="20"/>
        <v>28.7392</v>
      </c>
    </row>
    <row r="266" spans="2:16" ht="10.5" customHeight="1" x14ac:dyDescent="0.2">
      <c r="B266" s="39"/>
      <c r="C266" s="39"/>
      <c r="D266" s="39"/>
      <c r="E266" s="40" t="s">
        <v>279</v>
      </c>
      <c r="F266" s="40"/>
      <c r="G266" s="3" t="s">
        <v>16</v>
      </c>
      <c r="H266" s="36">
        <v>15</v>
      </c>
      <c r="I266" s="35">
        <v>10</v>
      </c>
      <c r="J266" s="35">
        <v>150</v>
      </c>
      <c r="K266" s="9">
        <f t="shared" si="21"/>
        <v>1.5585</v>
      </c>
      <c r="L266" s="10">
        <f t="shared" si="18"/>
        <v>15.585000000000001</v>
      </c>
      <c r="M266" s="10">
        <f t="shared" si="22"/>
        <v>9.5924999999999994</v>
      </c>
      <c r="N266" s="10">
        <f t="shared" si="19"/>
        <v>95.924999999999997</v>
      </c>
      <c r="O266" s="10">
        <f t="shared" si="23"/>
        <v>3.8489999999999998</v>
      </c>
      <c r="P266" s="10">
        <f t="shared" si="20"/>
        <v>38.49</v>
      </c>
    </row>
    <row r="267" spans="2:16" ht="10.5" customHeight="1" x14ac:dyDescent="0.2">
      <c r="B267" s="39"/>
      <c r="C267" s="39"/>
      <c r="D267" s="39"/>
      <c r="E267" s="40" t="s">
        <v>280</v>
      </c>
      <c r="F267" s="40"/>
      <c r="G267" s="3" t="s">
        <v>38</v>
      </c>
      <c r="H267" s="36">
        <v>147.80000000000001</v>
      </c>
      <c r="I267" s="35">
        <v>10.5</v>
      </c>
      <c r="J267" s="35">
        <v>1551.9</v>
      </c>
      <c r="K267" s="9">
        <f t="shared" si="21"/>
        <v>15.356420000000002</v>
      </c>
      <c r="L267" s="10">
        <f t="shared" si="18"/>
        <v>161.24241000000001</v>
      </c>
      <c r="M267" s="10">
        <f t="shared" si="22"/>
        <v>94.518100000000004</v>
      </c>
      <c r="N267" s="10">
        <f t="shared" si="19"/>
        <v>992.44005000000004</v>
      </c>
      <c r="O267" s="10">
        <f t="shared" si="23"/>
        <v>37.92548</v>
      </c>
      <c r="P267" s="10">
        <f t="shared" si="20"/>
        <v>398.21754000000004</v>
      </c>
    </row>
    <row r="268" spans="2:16" ht="10.5" customHeight="1" x14ac:dyDescent="0.2">
      <c r="B268" s="39"/>
      <c r="C268" s="39"/>
      <c r="D268" s="39"/>
      <c r="E268" s="40" t="s">
        <v>281</v>
      </c>
      <c r="F268" s="40"/>
      <c r="G268" s="3" t="s">
        <v>38</v>
      </c>
      <c r="H268" s="36">
        <v>434.98700000000002</v>
      </c>
      <c r="I268" s="35">
        <v>5.5</v>
      </c>
      <c r="J268" s="35">
        <v>2392.4299999999998</v>
      </c>
      <c r="K268" s="9">
        <f t="shared" si="21"/>
        <v>45.195149300000004</v>
      </c>
      <c r="L268" s="10">
        <f t="shared" si="18"/>
        <v>248.573477</v>
      </c>
      <c r="M268" s="10">
        <f t="shared" si="22"/>
        <v>278.17418650000002</v>
      </c>
      <c r="N268" s="10">
        <f t="shared" si="19"/>
        <v>1529.9589849999998</v>
      </c>
      <c r="O268" s="10">
        <f t="shared" si="23"/>
        <v>111.61766420000001</v>
      </c>
      <c r="P268" s="10">
        <f t="shared" si="20"/>
        <v>613.89753799999994</v>
      </c>
    </row>
    <row r="269" spans="2:16" ht="10.5" customHeight="1" x14ac:dyDescent="0.2">
      <c r="B269" s="39"/>
      <c r="C269" s="39"/>
      <c r="D269" s="39"/>
      <c r="E269" s="48" t="s">
        <v>282</v>
      </c>
      <c r="F269" s="49"/>
      <c r="G269" s="3" t="s">
        <v>16</v>
      </c>
      <c r="H269" s="36">
        <v>15</v>
      </c>
      <c r="I269" s="35">
        <v>5</v>
      </c>
      <c r="J269" s="35">
        <v>75</v>
      </c>
      <c r="K269" s="9">
        <f t="shared" si="21"/>
        <v>1.5585</v>
      </c>
      <c r="L269" s="10">
        <f t="shared" si="18"/>
        <v>7.7925000000000004</v>
      </c>
      <c r="M269" s="10">
        <f t="shared" si="22"/>
        <v>9.5924999999999994</v>
      </c>
      <c r="N269" s="10">
        <f t="shared" si="19"/>
        <v>47.962499999999999</v>
      </c>
      <c r="O269" s="10">
        <f t="shared" si="23"/>
        <v>3.8489999999999998</v>
      </c>
      <c r="P269" s="10">
        <f t="shared" si="20"/>
        <v>19.245000000000001</v>
      </c>
    </row>
    <row r="270" spans="2:16" ht="10.5" customHeight="1" x14ac:dyDescent="0.2">
      <c r="B270" s="39"/>
      <c r="C270" s="39"/>
      <c r="D270" s="39"/>
      <c r="E270" s="40" t="s">
        <v>283</v>
      </c>
      <c r="F270" s="40"/>
      <c r="G270" s="3" t="s">
        <v>16</v>
      </c>
      <c r="H270" s="36">
        <v>30</v>
      </c>
      <c r="I270" s="35">
        <v>2</v>
      </c>
      <c r="J270" s="35">
        <v>60</v>
      </c>
      <c r="K270" s="9">
        <f t="shared" si="21"/>
        <v>3.117</v>
      </c>
      <c r="L270" s="10">
        <f t="shared" si="18"/>
        <v>6.234</v>
      </c>
      <c r="M270" s="10">
        <f t="shared" si="22"/>
        <v>19.184999999999999</v>
      </c>
      <c r="N270" s="10">
        <f t="shared" si="19"/>
        <v>38.369999999999997</v>
      </c>
      <c r="O270" s="10">
        <f t="shared" si="23"/>
        <v>7.6979999999999995</v>
      </c>
      <c r="P270" s="10">
        <f t="shared" si="20"/>
        <v>15.395999999999999</v>
      </c>
    </row>
    <row r="271" spans="2:16" ht="10.5" customHeight="1" x14ac:dyDescent="0.2">
      <c r="B271" s="39"/>
      <c r="C271" s="39"/>
      <c r="D271" s="39"/>
      <c r="E271" s="48" t="s">
        <v>284</v>
      </c>
      <c r="F271" s="49"/>
      <c r="G271" s="3" t="s">
        <v>16</v>
      </c>
      <c r="H271" s="36">
        <v>15</v>
      </c>
      <c r="I271" s="35">
        <v>2</v>
      </c>
      <c r="J271" s="35">
        <v>30</v>
      </c>
      <c r="K271" s="9">
        <f t="shared" si="21"/>
        <v>1.5585</v>
      </c>
      <c r="L271" s="10">
        <f t="shared" si="18"/>
        <v>3.117</v>
      </c>
      <c r="M271" s="10">
        <f t="shared" si="22"/>
        <v>9.5924999999999994</v>
      </c>
      <c r="N271" s="10">
        <f t="shared" si="19"/>
        <v>19.184999999999999</v>
      </c>
      <c r="O271" s="10">
        <f t="shared" si="23"/>
        <v>3.8489999999999998</v>
      </c>
      <c r="P271" s="10">
        <f t="shared" si="20"/>
        <v>7.6979999999999995</v>
      </c>
    </row>
    <row r="272" spans="2:16" ht="10.5" customHeight="1" x14ac:dyDescent="0.2">
      <c r="B272" s="39"/>
      <c r="C272" s="39"/>
      <c r="D272" s="39"/>
      <c r="E272" s="48" t="s">
        <v>285</v>
      </c>
      <c r="F272" s="49"/>
      <c r="G272" s="3" t="s">
        <v>38</v>
      </c>
      <c r="H272" s="36">
        <v>302.88290000000001</v>
      </c>
      <c r="I272" s="35">
        <v>3.5</v>
      </c>
      <c r="J272" s="35">
        <v>1060.0899999999999</v>
      </c>
      <c r="K272" s="9">
        <f t="shared" si="21"/>
        <v>31.469533310000003</v>
      </c>
      <c r="L272" s="10">
        <f t="shared" si="18"/>
        <v>110.143351</v>
      </c>
      <c r="M272" s="10">
        <f t="shared" si="22"/>
        <v>193.69361454999998</v>
      </c>
      <c r="N272" s="10">
        <f t="shared" si="19"/>
        <v>677.92755499999987</v>
      </c>
      <c r="O272" s="10">
        <f t="shared" si="23"/>
        <v>77.719752139999997</v>
      </c>
      <c r="P272" s="10">
        <f t="shared" si="20"/>
        <v>272.019094</v>
      </c>
    </row>
    <row r="273" spans="2:16" ht="10.5" customHeight="1" x14ac:dyDescent="0.2">
      <c r="B273" s="39"/>
      <c r="C273" s="39"/>
      <c r="D273" s="39"/>
      <c r="E273" s="40" t="s">
        <v>286</v>
      </c>
      <c r="F273" s="40"/>
      <c r="G273" s="3" t="s">
        <v>16</v>
      </c>
      <c r="H273" s="36">
        <v>1</v>
      </c>
      <c r="I273" s="35">
        <v>7</v>
      </c>
      <c r="J273" s="35">
        <v>7</v>
      </c>
      <c r="K273" s="9">
        <f t="shared" si="21"/>
        <v>0.10390000000000001</v>
      </c>
      <c r="L273" s="10">
        <f t="shared" ref="L273:L296" si="24">J273*$K$8</f>
        <v>0.72730000000000006</v>
      </c>
      <c r="M273" s="10">
        <f t="shared" si="22"/>
        <v>0.63949999999999996</v>
      </c>
      <c r="N273" s="10">
        <f t="shared" ref="N273:N296" si="25">J273*$M$8</f>
        <v>4.4764999999999997</v>
      </c>
      <c r="O273" s="10">
        <f t="shared" si="23"/>
        <v>0.25659999999999999</v>
      </c>
      <c r="P273" s="10">
        <f t="shared" ref="P273:P296" si="26">J273*$O$8</f>
        <v>1.7962</v>
      </c>
    </row>
    <row r="274" spans="2:16" ht="10.5" customHeight="1" x14ac:dyDescent="0.2">
      <c r="B274" s="39"/>
      <c r="C274" s="39"/>
      <c r="D274" s="39"/>
      <c r="E274" s="40" t="s">
        <v>287</v>
      </c>
      <c r="F274" s="40"/>
      <c r="G274" s="3" t="s">
        <v>38</v>
      </c>
      <c r="H274" s="36">
        <v>3</v>
      </c>
      <c r="I274" s="35">
        <v>5</v>
      </c>
      <c r="J274" s="35">
        <v>15</v>
      </c>
      <c r="K274" s="9">
        <f t="shared" ref="K274:K296" si="27">H274*$K$8</f>
        <v>0.31170000000000003</v>
      </c>
      <c r="L274" s="10">
        <f t="shared" si="24"/>
        <v>1.5585</v>
      </c>
      <c r="M274" s="10">
        <f t="shared" ref="M274:M296" si="28">H274*$M$8</f>
        <v>1.9184999999999999</v>
      </c>
      <c r="N274" s="10">
        <f t="shared" si="25"/>
        <v>9.5924999999999994</v>
      </c>
      <c r="O274" s="10">
        <f t="shared" ref="O274:O296" si="29">H274*$O$8</f>
        <v>0.76980000000000004</v>
      </c>
      <c r="P274" s="10">
        <f t="shared" si="26"/>
        <v>3.8489999999999998</v>
      </c>
    </row>
    <row r="275" spans="2:16" ht="10.5" customHeight="1" x14ac:dyDescent="0.2">
      <c r="B275" s="39"/>
      <c r="C275" s="39"/>
      <c r="D275" s="39"/>
      <c r="E275" s="40" t="s">
        <v>288</v>
      </c>
      <c r="F275" s="40"/>
      <c r="G275" s="3" t="s">
        <v>38</v>
      </c>
      <c r="H275" s="36">
        <v>3</v>
      </c>
      <c r="I275" s="35">
        <v>11.5</v>
      </c>
      <c r="J275" s="35">
        <v>34.5</v>
      </c>
      <c r="K275" s="9">
        <f t="shared" si="27"/>
        <v>0.31170000000000003</v>
      </c>
      <c r="L275" s="10">
        <f t="shared" si="24"/>
        <v>3.5845500000000001</v>
      </c>
      <c r="M275" s="10">
        <f t="shared" si="28"/>
        <v>1.9184999999999999</v>
      </c>
      <c r="N275" s="10">
        <f t="shared" si="25"/>
        <v>22.062749999999998</v>
      </c>
      <c r="O275" s="10">
        <f t="shared" si="29"/>
        <v>0.76980000000000004</v>
      </c>
      <c r="P275" s="10">
        <f t="shared" si="26"/>
        <v>8.8527000000000005</v>
      </c>
    </row>
    <row r="276" spans="2:16" ht="10.5" customHeight="1" x14ac:dyDescent="0.2">
      <c r="B276" s="39"/>
      <c r="C276" s="39"/>
      <c r="D276" s="39"/>
      <c r="E276" s="40" t="s">
        <v>289</v>
      </c>
      <c r="F276" s="40"/>
      <c r="G276" s="3" t="s">
        <v>38</v>
      </c>
      <c r="H276" s="36">
        <v>278.27499999999998</v>
      </c>
      <c r="I276" s="35">
        <v>3</v>
      </c>
      <c r="J276" s="35">
        <v>834.83</v>
      </c>
      <c r="K276" s="9">
        <f t="shared" si="27"/>
        <v>28.912772499999999</v>
      </c>
      <c r="L276" s="10">
        <f t="shared" si="24"/>
        <v>86.738837000000004</v>
      </c>
      <c r="M276" s="10">
        <f t="shared" si="28"/>
        <v>177.95686249999997</v>
      </c>
      <c r="N276" s="10">
        <f t="shared" si="25"/>
        <v>533.873785</v>
      </c>
      <c r="O276" s="10">
        <f t="shared" si="29"/>
        <v>71.405364999999989</v>
      </c>
      <c r="P276" s="10">
        <f t="shared" si="26"/>
        <v>214.217378</v>
      </c>
    </row>
    <row r="277" spans="2:16" ht="10.5" customHeight="1" x14ac:dyDescent="0.2">
      <c r="B277" s="39"/>
      <c r="C277" s="39"/>
      <c r="D277" s="39"/>
      <c r="E277" s="48" t="s">
        <v>290</v>
      </c>
      <c r="F277" s="49"/>
      <c r="G277" s="3" t="s">
        <v>38</v>
      </c>
      <c r="H277" s="36">
        <v>88.752700000000004</v>
      </c>
      <c r="I277" s="35">
        <v>5.5</v>
      </c>
      <c r="J277" s="35">
        <v>488.14</v>
      </c>
      <c r="K277" s="9">
        <f t="shared" si="27"/>
        <v>9.2214055300000002</v>
      </c>
      <c r="L277" s="10">
        <f t="shared" si="24"/>
        <v>50.717745999999998</v>
      </c>
      <c r="M277" s="10">
        <f t="shared" si="28"/>
        <v>56.757351649999997</v>
      </c>
      <c r="N277" s="10">
        <f t="shared" si="25"/>
        <v>312.16552999999999</v>
      </c>
      <c r="O277" s="10">
        <f t="shared" si="29"/>
        <v>22.773942820000002</v>
      </c>
      <c r="P277" s="10">
        <f t="shared" si="26"/>
        <v>125.25672399999999</v>
      </c>
    </row>
    <row r="278" spans="2:16" ht="10.5" customHeight="1" x14ac:dyDescent="0.2">
      <c r="B278" s="39"/>
      <c r="C278" s="39"/>
      <c r="D278" s="39"/>
      <c r="E278" s="40" t="s">
        <v>291</v>
      </c>
      <c r="F278" s="40"/>
      <c r="G278" s="3" t="s">
        <v>16</v>
      </c>
      <c r="H278" s="36">
        <v>15</v>
      </c>
      <c r="I278" s="35">
        <v>5</v>
      </c>
      <c r="J278" s="35">
        <v>75</v>
      </c>
      <c r="K278" s="9">
        <f t="shared" si="27"/>
        <v>1.5585</v>
      </c>
      <c r="L278" s="10">
        <f t="shared" si="24"/>
        <v>7.7925000000000004</v>
      </c>
      <c r="M278" s="10">
        <f t="shared" si="28"/>
        <v>9.5924999999999994</v>
      </c>
      <c r="N278" s="10">
        <f t="shared" si="25"/>
        <v>47.962499999999999</v>
      </c>
      <c r="O278" s="10">
        <f t="shared" si="29"/>
        <v>3.8489999999999998</v>
      </c>
      <c r="P278" s="10">
        <f t="shared" si="26"/>
        <v>19.245000000000001</v>
      </c>
    </row>
    <row r="279" spans="2:16" ht="10.5" customHeight="1" x14ac:dyDescent="0.2">
      <c r="B279" s="39"/>
      <c r="C279" s="39"/>
      <c r="D279" s="39"/>
      <c r="E279" s="40" t="s">
        <v>292</v>
      </c>
      <c r="F279" s="40"/>
      <c r="G279" s="3" t="s">
        <v>16</v>
      </c>
      <c r="H279" s="36">
        <v>15</v>
      </c>
      <c r="I279" s="35">
        <v>8</v>
      </c>
      <c r="J279" s="35">
        <v>120</v>
      </c>
      <c r="K279" s="9">
        <f t="shared" si="27"/>
        <v>1.5585</v>
      </c>
      <c r="L279" s="10">
        <f t="shared" si="24"/>
        <v>12.468</v>
      </c>
      <c r="M279" s="10">
        <f t="shared" si="28"/>
        <v>9.5924999999999994</v>
      </c>
      <c r="N279" s="10">
        <f t="shared" si="25"/>
        <v>76.739999999999995</v>
      </c>
      <c r="O279" s="10">
        <f t="shared" si="29"/>
        <v>3.8489999999999998</v>
      </c>
      <c r="P279" s="10">
        <f t="shared" si="26"/>
        <v>30.791999999999998</v>
      </c>
    </row>
    <row r="280" spans="2:16" ht="10.5" customHeight="1" x14ac:dyDescent="0.2">
      <c r="B280" s="39"/>
      <c r="C280" s="39"/>
      <c r="D280" s="39"/>
      <c r="E280" s="48" t="s">
        <v>293</v>
      </c>
      <c r="F280" s="49"/>
      <c r="G280" s="3" t="s">
        <v>38</v>
      </c>
      <c r="H280" s="36">
        <v>464.07900000000001</v>
      </c>
      <c r="I280" s="35">
        <v>4</v>
      </c>
      <c r="J280" s="35">
        <v>1856.32</v>
      </c>
      <c r="K280" s="9">
        <f t="shared" si="27"/>
        <v>48.217808100000006</v>
      </c>
      <c r="L280" s="10">
        <f t="shared" si="24"/>
        <v>192.87164799999999</v>
      </c>
      <c r="M280" s="10">
        <f t="shared" si="28"/>
        <v>296.77852050000001</v>
      </c>
      <c r="N280" s="10">
        <f t="shared" si="25"/>
        <v>1187.11664</v>
      </c>
      <c r="O280" s="10">
        <f t="shared" si="29"/>
        <v>119.0826714</v>
      </c>
      <c r="P280" s="10">
        <f t="shared" si="26"/>
        <v>476.33171199999998</v>
      </c>
    </row>
    <row r="281" spans="2:16" ht="10.5" customHeight="1" x14ac:dyDescent="0.2">
      <c r="B281" s="39"/>
      <c r="C281" s="39"/>
      <c r="D281" s="39"/>
      <c r="E281" s="40" t="s">
        <v>294</v>
      </c>
      <c r="F281" s="40"/>
      <c r="G281" s="3" t="s">
        <v>16</v>
      </c>
      <c r="H281" s="36">
        <v>28</v>
      </c>
      <c r="I281" s="35">
        <v>5</v>
      </c>
      <c r="J281" s="35">
        <v>140</v>
      </c>
      <c r="K281" s="9">
        <f t="shared" si="27"/>
        <v>2.9092000000000002</v>
      </c>
      <c r="L281" s="10">
        <f t="shared" si="24"/>
        <v>14.546000000000001</v>
      </c>
      <c r="M281" s="10">
        <f t="shared" si="28"/>
        <v>17.905999999999999</v>
      </c>
      <c r="N281" s="10">
        <f t="shared" si="25"/>
        <v>89.53</v>
      </c>
      <c r="O281" s="10">
        <f t="shared" si="29"/>
        <v>7.1848000000000001</v>
      </c>
      <c r="P281" s="10">
        <f t="shared" si="26"/>
        <v>35.923999999999999</v>
      </c>
    </row>
    <row r="282" spans="2:16" ht="10.5" customHeight="1" x14ac:dyDescent="0.2">
      <c r="B282" s="39"/>
      <c r="C282" s="39"/>
      <c r="D282" s="39"/>
      <c r="E282" s="40" t="s">
        <v>295</v>
      </c>
      <c r="F282" s="40"/>
      <c r="G282" s="3" t="s">
        <v>16</v>
      </c>
      <c r="H282" s="36">
        <v>30</v>
      </c>
      <c r="I282" s="35">
        <v>10</v>
      </c>
      <c r="J282" s="35">
        <v>300</v>
      </c>
      <c r="K282" s="9">
        <f t="shared" si="27"/>
        <v>3.117</v>
      </c>
      <c r="L282" s="10">
        <f t="shared" si="24"/>
        <v>31.17</v>
      </c>
      <c r="M282" s="10">
        <f t="shared" si="28"/>
        <v>19.184999999999999</v>
      </c>
      <c r="N282" s="10">
        <f t="shared" si="25"/>
        <v>191.85</v>
      </c>
      <c r="O282" s="10">
        <f t="shared" si="29"/>
        <v>7.6979999999999995</v>
      </c>
      <c r="P282" s="10">
        <f t="shared" si="26"/>
        <v>76.98</v>
      </c>
    </row>
    <row r="283" spans="2:16" ht="10.5" customHeight="1" x14ac:dyDescent="0.2">
      <c r="B283" s="39"/>
      <c r="C283" s="39"/>
      <c r="D283" s="39"/>
      <c r="E283" s="40" t="s">
        <v>296</v>
      </c>
      <c r="F283" s="40"/>
      <c r="G283" s="3" t="s">
        <v>38</v>
      </c>
      <c r="H283" s="36">
        <v>4.4000000000000004</v>
      </c>
      <c r="I283" s="35">
        <v>4</v>
      </c>
      <c r="J283" s="35">
        <v>17.600000000000001</v>
      </c>
      <c r="K283" s="9">
        <f t="shared" si="27"/>
        <v>0.45716000000000007</v>
      </c>
      <c r="L283" s="10">
        <f t="shared" si="24"/>
        <v>1.8286400000000003</v>
      </c>
      <c r="M283" s="10">
        <f t="shared" si="28"/>
        <v>2.8138000000000001</v>
      </c>
      <c r="N283" s="10">
        <f t="shared" si="25"/>
        <v>11.2552</v>
      </c>
      <c r="O283" s="10">
        <f t="shared" si="29"/>
        <v>1.12904</v>
      </c>
      <c r="P283" s="10">
        <f t="shared" si="26"/>
        <v>4.5161600000000002</v>
      </c>
    </row>
    <row r="284" spans="2:16" ht="10.5" customHeight="1" x14ac:dyDescent="0.2">
      <c r="B284" s="39"/>
      <c r="C284" s="39"/>
      <c r="D284" s="39"/>
      <c r="E284" s="48" t="s">
        <v>297</v>
      </c>
      <c r="F284" s="49"/>
      <c r="G284" s="3" t="s">
        <v>38</v>
      </c>
      <c r="H284" s="36">
        <v>2</v>
      </c>
      <c r="I284" s="35">
        <v>7.5</v>
      </c>
      <c r="J284" s="35">
        <v>15</v>
      </c>
      <c r="K284" s="9">
        <f t="shared" si="27"/>
        <v>0.20780000000000001</v>
      </c>
      <c r="L284" s="10">
        <f t="shared" si="24"/>
        <v>1.5585</v>
      </c>
      <c r="M284" s="10">
        <f t="shared" si="28"/>
        <v>1.2789999999999999</v>
      </c>
      <c r="N284" s="10">
        <f t="shared" si="25"/>
        <v>9.5924999999999994</v>
      </c>
      <c r="O284" s="10">
        <f t="shared" si="29"/>
        <v>0.51319999999999999</v>
      </c>
      <c r="P284" s="10">
        <f t="shared" si="26"/>
        <v>3.8489999999999998</v>
      </c>
    </row>
    <row r="285" spans="2:16" ht="10.5" customHeight="1" x14ac:dyDescent="0.2">
      <c r="B285" s="39"/>
      <c r="C285" s="39"/>
      <c r="D285" s="39"/>
      <c r="E285" s="40" t="s">
        <v>298</v>
      </c>
      <c r="F285" s="40"/>
      <c r="G285" s="3" t="s">
        <v>38</v>
      </c>
      <c r="H285" s="36">
        <v>4</v>
      </c>
      <c r="I285" s="35">
        <v>7.5</v>
      </c>
      <c r="J285" s="35">
        <v>30</v>
      </c>
      <c r="K285" s="9">
        <f t="shared" si="27"/>
        <v>0.41560000000000002</v>
      </c>
      <c r="L285" s="10">
        <f t="shared" si="24"/>
        <v>3.117</v>
      </c>
      <c r="M285" s="10">
        <f t="shared" si="28"/>
        <v>2.5579999999999998</v>
      </c>
      <c r="N285" s="10">
        <f t="shared" si="25"/>
        <v>19.184999999999999</v>
      </c>
      <c r="O285" s="10">
        <f t="shared" si="29"/>
        <v>1.0264</v>
      </c>
      <c r="P285" s="10">
        <f t="shared" si="26"/>
        <v>7.6979999999999995</v>
      </c>
    </row>
    <row r="286" spans="2:16" ht="10.5" customHeight="1" x14ac:dyDescent="0.2">
      <c r="B286" s="39"/>
      <c r="C286" s="39"/>
      <c r="D286" s="39"/>
      <c r="E286" s="48" t="s">
        <v>299</v>
      </c>
      <c r="F286" s="49"/>
      <c r="G286" s="3" t="s">
        <v>16</v>
      </c>
      <c r="H286" s="36">
        <v>1</v>
      </c>
      <c r="I286" s="35">
        <v>15</v>
      </c>
      <c r="J286" s="35">
        <v>15</v>
      </c>
      <c r="K286" s="9">
        <f t="shared" si="27"/>
        <v>0.10390000000000001</v>
      </c>
      <c r="L286" s="10">
        <f t="shared" si="24"/>
        <v>1.5585</v>
      </c>
      <c r="M286" s="10">
        <f t="shared" si="28"/>
        <v>0.63949999999999996</v>
      </c>
      <c r="N286" s="10">
        <f t="shared" si="25"/>
        <v>9.5924999999999994</v>
      </c>
      <c r="O286" s="10">
        <f t="shared" si="29"/>
        <v>0.25659999999999999</v>
      </c>
      <c r="P286" s="10">
        <f t="shared" si="26"/>
        <v>3.8489999999999998</v>
      </c>
    </row>
    <row r="287" spans="2:16" ht="10.5" customHeight="1" x14ac:dyDescent="0.2">
      <c r="B287" s="39"/>
      <c r="C287" s="39"/>
      <c r="D287" s="39"/>
      <c r="E287" s="40" t="s">
        <v>300</v>
      </c>
      <c r="F287" s="40"/>
      <c r="G287" s="3" t="s">
        <v>16</v>
      </c>
      <c r="H287" s="36">
        <v>1</v>
      </c>
      <c r="I287" s="35">
        <v>10</v>
      </c>
      <c r="J287" s="35">
        <v>10</v>
      </c>
      <c r="K287" s="9">
        <f t="shared" si="27"/>
        <v>0.10390000000000001</v>
      </c>
      <c r="L287" s="10">
        <f t="shared" si="24"/>
        <v>1.0390000000000001</v>
      </c>
      <c r="M287" s="10">
        <f t="shared" si="28"/>
        <v>0.63949999999999996</v>
      </c>
      <c r="N287" s="10">
        <f t="shared" si="25"/>
        <v>6.3949999999999996</v>
      </c>
      <c r="O287" s="10">
        <f t="shared" si="29"/>
        <v>0.25659999999999999</v>
      </c>
      <c r="P287" s="10">
        <f t="shared" si="26"/>
        <v>2.5659999999999998</v>
      </c>
    </row>
    <row r="288" spans="2:16" ht="10.5" customHeight="1" x14ac:dyDescent="0.2">
      <c r="B288" s="39"/>
      <c r="C288" s="39"/>
      <c r="D288" s="39"/>
      <c r="E288" s="40" t="s">
        <v>301</v>
      </c>
      <c r="F288" s="40"/>
      <c r="G288" s="3" t="s">
        <v>16</v>
      </c>
      <c r="H288" s="36">
        <v>15</v>
      </c>
      <c r="I288" s="35">
        <v>15</v>
      </c>
      <c r="J288" s="35">
        <v>225</v>
      </c>
      <c r="K288" s="9">
        <f t="shared" si="27"/>
        <v>1.5585</v>
      </c>
      <c r="L288" s="10">
        <f t="shared" si="24"/>
        <v>23.377500000000001</v>
      </c>
      <c r="M288" s="10">
        <f t="shared" si="28"/>
        <v>9.5924999999999994</v>
      </c>
      <c r="N288" s="10">
        <f t="shared" si="25"/>
        <v>143.88749999999999</v>
      </c>
      <c r="O288" s="10">
        <f t="shared" si="29"/>
        <v>3.8489999999999998</v>
      </c>
      <c r="P288" s="10">
        <f t="shared" si="26"/>
        <v>57.734999999999999</v>
      </c>
    </row>
    <row r="289" spans="2:16" ht="10.5" customHeight="1" x14ac:dyDescent="0.2">
      <c r="B289" s="39"/>
      <c r="C289" s="39"/>
      <c r="D289" s="39"/>
      <c r="E289" s="48" t="s">
        <v>302</v>
      </c>
      <c r="F289" s="49"/>
      <c r="G289" s="3" t="s">
        <v>16</v>
      </c>
      <c r="H289" s="36">
        <v>15</v>
      </c>
      <c r="I289" s="35">
        <v>25</v>
      </c>
      <c r="J289" s="35">
        <v>375</v>
      </c>
      <c r="K289" s="9">
        <f t="shared" si="27"/>
        <v>1.5585</v>
      </c>
      <c r="L289" s="10">
        <f t="shared" si="24"/>
        <v>38.962500000000006</v>
      </c>
      <c r="M289" s="10">
        <f t="shared" si="28"/>
        <v>9.5924999999999994</v>
      </c>
      <c r="N289" s="10">
        <f t="shared" si="25"/>
        <v>239.81249999999997</v>
      </c>
      <c r="O289" s="10">
        <f t="shared" si="29"/>
        <v>3.8489999999999998</v>
      </c>
      <c r="P289" s="10">
        <f t="shared" si="26"/>
        <v>96.224999999999994</v>
      </c>
    </row>
    <row r="290" spans="2:16" ht="10.5" customHeight="1" x14ac:dyDescent="0.2">
      <c r="B290" s="39"/>
      <c r="C290" s="39"/>
      <c r="D290" s="39"/>
      <c r="E290" s="48" t="s">
        <v>303</v>
      </c>
      <c r="F290" s="49"/>
      <c r="G290" s="3" t="s">
        <v>16</v>
      </c>
      <c r="H290" s="36">
        <v>14</v>
      </c>
      <c r="I290" s="35">
        <v>20.34</v>
      </c>
      <c r="J290" s="35">
        <v>284.76</v>
      </c>
      <c r="K290" s="9">
        <f t="shared" si="27"/>
        <v>1.4546000000000001</v>
      </c>
      <c r="L290" s="10">
        <f t="shared" si="24"/>
        <v>29.586563999999999</v>
      </c>
      <c r="M290" s="10">
        <f t="shared" si="28"/>
        <v>8.9529999999999994</v>
      </c>
      <c r="N290" s="10">
        <f t="shared" si="25"/>
        <v>182.10401999999999</v>
      </c>
      <c r="O290" s="10">
        <f t="shared" si="29"/>
        <v>3.5924</v>
      </c>
      <c r="P290" s="10">
        <f t="shared" si="26"/>
        <v>73.06941599999999</v>
      </c>
    </row>
    <row r="291" spans="2:16" ht="10.5" customHeight="1" x14ac:dyDescent="0.2">
      <c r="B291" s="39"/>
      <c r="C291" s="39"/>
      <c r="D291" s="39"/>
      <c r="E291" s="40" t="s">
        <v>304</v>
      </c>
      <c r="F291" s="40"/>
      <c r="G291" s="3" t="s">
        <v>16</v>
      </c>
      <c r="H291" s="36">
        <v>28</v>
      </c>
      <c r="I291" s="35">
        <v>3</v>
      </c>
      <c r="J291" s="35">
        <v>84</v>
      </c>
      <c r="K291" s="9">
        <f t="shared" si="27"/>
        <v>2.9092000000000002</v>
      </c>
      <c r="L291" s="10">
        <f t="shared" si="24"/>
        <v>8.7276000000000007</v>
      </c>
      <c r="M291" s="10">
        <f t="shared" si="28"/>
        <v>17.905999999999999</v>
      </c>
      <c r="N291" s="10">
        <f t="shared" si="25"/>
        <v>53.717999999999996</v>
      </c>
      <c r="O291" s="10">
        <f t="shared" si="29"/>
        <v>7.1848000000000001</v>
      </c>
      <c r="P291" s="10">
        <f t="shared" si="26"/>
        <v>21.554400000000001</v>
      </c>
    </row>
    <row r="292" spans="2:16" ht="10.5" customHeight="1" x14ac:dyDescent="0.2">
      <c r="B292" s="39"/>
      <c r="C292" s="39"/>
      <c r="D292" s="39"/>
      <c r="E292" s="48" t="s">
        <v>305</v>
      </c>
      <c r="F292" s="49"/>
      <c r="G292" s="3" t="s">
        <v>38</v>
      </c>
      <c r="H292" s="36">
        <v>398.55</v>
      </c>
      <c r="I292" s="35">
        <v>3</v>
      </c>
      <c r="J292" s="35">
        <v>1195.6500000000001</v>
      </c>
      <c r="K292" s="9">
        <f t="shared" si="27"/>
        <v>41.409345000000002</v>
      </c>
      <c r="L292" s="10">
        <f t="shared" si="24"/>
        <v>124.22803500000002</v>
      </c>
      <c r="M292" s="10">
        <f t="shared" si="28"/>
        <v>254.872725</v>
      </c>
      <c r="N292" s="10">
        <f t="shared" si="25"/>
        <v>764.61817499999995</v>
      </c>
      <c r="O292" s="10">
        <f t="shared" si="29"/>
        <v>102.26793000000001</v>
      </c>
      <c r="P292" s="10">
        <f t="shared" si="26"/>
        <v>306.80378999999999</v>
      </c>
    </row>
    <row r="293" spans="2:16" ht="10.5" customHeight="1" x14ac:dyDescent="0.2">
      <c r="B293" s="39"/>
      <c r="C293" s="39"/>
      <c r="D293" s="39"/>
      <c r="E293" s="48" t="s">
        <v>306</v>
      </c>
      <c r="F293" s="49"/>
      <c r="G293" s="3" t="s">
        <v>38</v>
      </c>
      <c r="H293" s="36">
        <v>1</v>
      </c>
      <c r="I293" s="35">
        <v>3</v>
      </c>
      <c r="J293" s="35">
        <v>3</v>
      </c>
      <c r="K293" s="9">
        <f t="shared" si="27"/>
        <v>0.10390000000000001</v>
      </c>
      <c r="L293" s="10">
        <f t="shared" si="24"/>
        <v>0.31170000000000003</v>
      </c>
      <c r="M293" s="10">
        <f t="shared" si="28"/>
        <v>0.63949999999999996</v>
      </c>
      <c r="N293" s="10">
        <f t="shared" si="25"/>
        <v>1.9184999999999999</v>
      </c>
      <c r="O293" s="10">
        <f t="shared" si="29"/>
        <v>0.25659999999999999</v>
      </c>
      <c r="P293" s="10">
        <f t="shared" si="26"/>
        <v>0.76980000000000004</v>
      </c>
    </row>
    <row r="294" spans="2:16" ht="10.5" customHeight="1" x14ac:dyDescent="0.2">
      <c r="B294" s="39"/>
      <c r="C294" s="39"/>
      <c r="D294" s="39"/>
      <c r="E294" s="48" t="s">
        <v>307</v>
      </c>
      <c r="F294" s="49"/>
      <c r="G294" s="3" t="s">
        <v>38</v>
      </c>
      <c r="H294" s="36">
        <v>1</v>
      </c>
      <c r="I294" s="35">
        <v>2</v>
      </c>
      <c r="J294" s="35">
        <v>2</v>
      </c>
      <c r="K294" s="9">
        <f t="shared" si="27"/>
        <v>0.10390000000000001</v>
      </c>
      <c r="L294" s="10">
        <f t="shared" si="24"/>
        <v>0.20780000000000001</v>
      </c>
      <c r="M294" s="10">
        <f t="shared" si="28"/>
        <v>0.63949999999999996</v>
      </c>
      <c r="N294" s="10">
        <f t="shared" si="25"/>
        <v>1.2789999999999999</v>
      </c>
      <c r="O294" s="10">
        <f t="shared" si="29"/>
        <v>0.25659999999999999</v>
      </c>
      <c r="P294" s="10">
        <f t="shared" si="26"/>
        <v>0.51319999999999999</v>
      </c>
    </row>
    <row r="295" spans="2:16" ht="10.5" customHeight="1" x14ac:dyDescent="0.2">
      <c r="B295" s="39"/>
      <c r="C295" s="39"/>
      <c r="D295" s="39"/>
      <c r="E295" s="48" t="s">
        <v>308</v>
      </c>
      <c r="F295" s="49"/>
      <c r="G295" s="3" t="s">
        <v>27</v>
      </c>
      <c r="H295" s="36">
        <v>72</v>
      </c>
      <c r="I295" s="35">
        <v>3.5</v>
      </c>
      <c r="J295" s="35">
        <v>252</v>
      </c>
      <c r="K295" s="9">
        <f t="shared" si="27"/>
        <v>7.4808000000000003</v>
      </c>
      <c r="L295" s="10">
        <f t="shared" si="24"/>
        <v>26.1828</v>
      </c>
      <c r="M295" s="10">
        <f t="shared" si="28"/>
        <v>46.043999999999997</v>
      </c>
      <c r="N295" s="10">
        <f t="shared" si="25"/>
        <v>161.154</v>
      </c>
      <c r="O295" s="10">
        <f t="shared" si="29"/>
        <v>18.475200000000001</v>
      </c>
      <c r="P295" s="10">
        <f t="shared" si="26"/>
        <v>64.663200000000003</v>
      </c>
    </row>
    <row r="296" spans="2:16" ht="10.5" customHeight="1" x14ac:dyDescent="0.2">
      <c r="B296" s="39"/>
      <c r="C296" s="39"/>
      <c r="D296" s="39"/>
      <c r="E296" s="40" t="s">
        <v>309</v>
      </c>
      <c r="F296" s="40"/>
      <c r="G296" s="3" t="s">
        <v>27</v>
      </c>
      <c r="H296" s="36">
        <v>270</v>
      </c>
      <c r="I296" s="35">
        <v>1.5</v>
      </c>
      <c r="J296" s="35">
        <v>405</v>
      </c>
      <c r="K296" s="9">
        <f t="shared" si="27"/>
        <v>28.053000000000001</v>
      </c>
      <c r="L296" s="10">
        <f t="shared" si="24"/>
        <v>42.079500000000003</v>
      </c>
      <c r="M296" s="10">
        <f t="shared" si="28"/>
        <v>172.66499999999999</v>
      </c>
      <c r="N296" s="10">
        <f t="shared" si="25"/>
        <v>258.9975</v>
      </c>
      <c r="O296" s="10">
        <f t="shared" si="29"/>
        <v>69.281999999999996</v>
      </c>
      <c r="P296" s="10">
        <f t="shared" si="26"/>
        <v>103.923</v>
      </c>
    </row>
    <row r="297" spans="2:16" ht="10.5" customHeight="1" x14ac:dyDescent="0.2">
      <c r="B297" s="41"/>
      <c r="C297" s="42"/>
      <c r="D297" s="43"/>
      <c r="E297" s="41"/>
      <c r="F297" s="43"/>
      <c r="G297" s="2"/>
      <c r="H297" s="29"/>
      <c r="I297" s="4"/>
      <c r="J297" s="11">
        <f>SUM(J17:J296)</f>
        <v>327272.13000000024</v>
      </c>
      <c r="K297" s="11"/>
      <c r="L297" s="11">
        <f>SUM(L17:L296)</f>
        <v>34003.574306999981</v>
      </c>
      <c r="M297" s="11"/>
      <c r="N297" s="11">
        <f>SUM(N17:N296)</f>
        <v>209290.5271350001</v>
      </c>
      <c r="O297" s="11"/>
      <c r="P297" s="11">
        <f>SUM(P17:P296)</f>
        <v>83978.028558000035</v>
      </c>
    </row>
    <row r="298" spans="2:16" ht="10.5" customHeight="1" x14ac:dyDescent="0.2">
      <c r="B298" s="4"/>
      <c r="C298" s="5"/>
      <c r="D298" s="6"/>
      <c r="E298" s="4"/>
      <c r="F298" s="6"/>
      <c r="G298" s="41"/>
      <c r="H298" s="42"/>
      <c r="I298" s="42"/>
      <c r="J298" s="43"/>
      <c r="K298" s="6"/>
      <c r="L298" s="11">
        <f>+L297</f>
        <v>34003.574306999981</v>
      </c>
      <c r="M298" s="11"/>
      <c r="N298" s="11">
        <f>+L298+N297</f>
        <v>243294.10144200007</v>
      </c>
      <c r="O298" s="11"/>
      <c r="P298" s="11">
        <f>+N298+P297</f>
        <v>327272.13000000012</v>
      </c>
    </row>
    <row r="299" spans="2:16" x14ac:dyDescent="0.2">
      <c r="B299" s="44" t="s">
        <v>310</v>
      </c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6"/>
    </row>
    <row r="300" spans="2:16" ht="11.25" customHeight="1" x14ac:dyDescent="0.2">
      <c r="B300" s="39"/>
      <c r="C300" s="39"/>
      <c r="D300" s="39"/>
      <c r="E300" s="40" t="s">
        <v>311</v>
      </c>
      <c r="F300" s="40"/>
      <c r="G300" s="3" t="s">
        <v>312</v>
      </c>
      <c r="H300" s="29"/>
      <c r="I300" s="4"/>
      <c r="J300" s="25">
        <v>7144.46</v>
      </c>
      <c r="K300" s="9"/>
      <c r="L300" s="9">
        <f t="shared" ref="L300:L310" si="30">J300*$K$8</f>
        <v>742.309394</v>
      </c>
      <c r="M300" s="9"/>
      <c r="N300" s="9">
        <f t="shared" ref="N300:N310" si="31">J300*$M$8</f>
        <v>4568.8821699999999</v>
      </c>
      <c r="O300" s="9"/>
      <c r="P300" s="9">
        <f t="shared" ref="P300:P310" si="32">J300*$O$8</f>
        <v>1833.2684360000001</v>
      </c>
    </row>
    <row r="301" spans="2:16" ht="10.5" customHeight="1" x14ac:dyDescent="0.2">
      <c r="B301" s="39"/>
      <c r="C301" s="39"/>
      <c r="D301" s="39"/>
      <c r="E301" s="48" t="s">
        <v>313</v>
      </c>
      <c r="F301" s="49"/>
      <c r="G301" s="3" t="s">
        <v>314</v>
      </c>
      <c r="H301" s="36">
        <v>56.051299999999998</v>
      </c>
      <c r="I301" s="9">
        <v>20</v>
      </c>
      <c r="J301" s="37">
        <v>1121.03</v>
      </c>
      <c r="K301" s="9">
        <f>H301*$K$8</f>
        <v>5.8237300699999999</v>
      </c>
      <c r="L301" s="9">
        <f t="shared" si="30"/>
        <v>116.47501700000001</v>
      </c>
      <c r="M301" s="9">
        <f>H301*$M$8</f>
        <v>35.844806349999999</v>
      </c>
      <c r="N301" s="9">
        <f t="shared" si="31"/>
        <v>716.89868499999989</v>
      </c>
      <c r="O301" s="9">
        <f>H301*$O$8</f>
        <v>14.382763579999999</v>
      </c>
      <c r="P301" s="9">
        <f t="shared" si="32"/>
        <v>287.65629799999999</v>
      </c>
    </row>
    <row r="302" spans="2:16" ht="10.5" customHeight="1" x14ac:dyDescent="0.2">
      <c r="B302" s="39"/>
      <c r="C302" s="39"/>
      <c r="D302" s="39"/>
      <c r="E302" s="48" t="s">
        <v>315</v>
      </c>
      <c r="F302" s="49"/>
      <c r="G302" s="3" t="s">
        <v>314</v>
      </c>
      <c r="H302" s="36">
        <v>10.7598</v>
      </c>
      <c r="I302" s="9">
        <v>15</v>
      </c>
      <c r="J302" s="37">
        <v>161.4</v>
      </c>
      <c r="K302" s="9">
        <f t="shared" ref="K302:K310" si="33">H302*$K$8</f>
        <v>1.1179432200000001</v>
      </c>
      <c r="L302" s="9">
        <f t="shared" si="30"/>
        <v>16.769460000000002</v>
      </c>
      <c r="M302" s="9">
        <f t="shared" ref="M302:M310" si="34">H302*$M$8</f>
        <v>6.8808920999999996</v>
      </c>
      <c r="N302" s="9">
        <f t="shared" si="31"/>
        <v>103.2153</v>
      </c>
      <c r="O302" s="9">
        <f t="shared" ref="O302:O310" si="35">H302*$O$8</f>
        <v>2.7609646799999998</v>
      </c>
      <c r="P302" s="9">
        <f t="shared" si="32"/>
        <v>41.415239999999997</v>
      </c>
    </row>
    <row r="303" spans="2:16" ht="10.5" customHeight="1" x14ac:dyDescent="0.2">
      <c r="B303" s="39"/>
      <c r="C303" s="39"/>
      <c r="D303" s="39"/>
      <c r="E303" s="40" t="s">
        <v>316</v>
      </c>
      <c r="F303" s="40"/>
      <c r="G303" s="3" t="s">
        <v>314</v>
      </c>
      <c r="H303" s="36">
        <v>71.251099999999994</v>
      </c>
      <c r="I303" s="9">
        <v>18</v>
      </c>
      <c r="J303" s="37">
        <v>1282.52</v>
      </c>
      <c r="K303" s="9">
        <f t="shared" si="33"/>
        <v>7.4029892899999998</v>
      </c>
      <c r="L303" s="9">
        <f t="shared" si="30"/>
        <v>133.253828</v>
      </c>
      <c r="M303" s="9">
        <f t="shared" si="34"/>
        <v>45.565078449999994</v>
      </c>
      <c r="N303" s="9">
        <f t="shared" si="31"/>
        <v>820.17153999999994</v>
      </c>
      <c r="O303" s="9">
        <f t="shared" si="35"/>
        <v>18.283032259999999</v>
      </c>
      <c r="P303" s="9">
        <f t="shared" si="32"/>
        <v>329.09463199999999</v>
      </c>
    </row>
    <row r="304" spans="2:16" ht="10.5" customHeight="1" x14ac:dyDescent="0.2">
      <c r="B304" s="39"/>
      <c r="C304" s="39"/>
      <c r="D304" s="39"/>
      <c r="E304" s="48" t="s">
        <v>317</v>
      </c>
      <c r="F304" s="49"/>
      <c r="G304" s="3" t="s">
        <v>314</v>
      </c>
      <c r="H304" s="36">
        <v>147.66069999999999</v>
      </c>
      <c r="I304" s="9">
        <v>15</v>
      </c>
      <c r="J304" s="37">
        <v>2214.91</v>
      </c>
      <c r="K304" s="9">
        <f t="shared" si="33"/>
        <v>15.34194673</v>
      </c>
      <c r="L304" s="9">
        <f t="shared" si="30"/>
        <v>230.12914900000001</v>
      </c>
      <c r="M304" s="9">
        <f t="shared" si="34"/>
        <v>94.429017649999992</v>
      </c>
      <c r="N304" s="9">
        <f t="shared" si="31"/>
        <v>1416.4349449999997</v>
      </c>
      <c r="O304" s="9">
        <f t="shared" si="35"/>
        <v>37.889735619999996</v>
      </c>
      <c r="P304" s="9">
        <f t="shared" si="32"/>
        <v>568.3459059999999</v>
      </c>
    </row>
    <row r="305" spans="2:16" ht="10.5" customHeight="1" x14ac:dyDescent="0.2">
      <c r="B305" s="39"/>
      <c r="C305" s="39"/>
      <c r="D305" s="39"/>
      <c r="E305" s="40" t="s">
        <v>318</v>
      </c>
      <c r="F305" s="40"/>
      <c r="G305" s="3" t="s">
        <v>314</v>
      </c>
      <c r="H305" s="36">
        <v>6.5579999999999998</v>
      </c>
      <c r="I305" s="9">
        <v>20</v>
      </c>
      <c r="J305" s="37">
        <v>131.16</v>
      </c>
      <c r="K305" s="9">
        <f t="shared" si="33"/>
        <v>0.68137619999999999</v>
      </c>
      <c r="L305" s="9">
        <f t="shared" si="30"/>
        <v>13.627524000000001</v>
      </c>
      <c r="M305" s="9">
        <f t="shared" si="34"/>
        <v>4.1938409999999999</v>
      </c>
      <c r="N305" s="9">
        <f t="shared" si="31"/>
        <v>83.876819999999995</v>
      </c>
      <c r="O305" s="9">
        <f t="shared" si="35"/>
        <v>1.6827828</v>
      </c>
      <c r="P305" s="9">
        <f t="shared" si="32"/>
        <v>33.655656</v>
      </c>
    </row>
    <row r="306" spans="2:16" ht="10.5" customHeight="1" x14ac:dyDescent="0.2">
      <c r="B306" s="39"/>
      <c r="C306" s="39"/>
      <c r="D306" s="39"/>
      <c r="E306" s="48" t="s">
        <v>319</v>
      </c>
      <c r="F306" s="49"/>
      <c r="G306" s="3" t="s">
        <v>314</v>
      </c>
      <c r="H306" s="36">
        <v>53.8992</v>
      </c>
      <c r="I306" s="9">
        <v>160</v>
      </c>
      <c r="J306" s="37">
        <v>8623.8700000000008</v>
      </c>
      <c r="K306" s="9">
        <f t="shared" si="33"/>
        <v>5.6001268800000004</v>
      </c>
      <c r="L306" s="9">
        <f t="shared" si="30"/>
        <v>896.02009300000009</v>
      </c>
      <c r="M306" s="9">
        <f t="shared" si="34"/>
        <v>34.4685384</v>
      </c>
      <c r="N306" s="9">
        <f t="shared" si="31"/>
        <v>5514.9648649999999</v>
      </c>
      <c r="O306" s="9">
        <f t="shared" si="35"/>
        <v>13.830534719999999</v>
      </c>
      <c r="P306" s="9">
        <f t="shared" si="32"/>
        <v>2212.8850420000003</v>
      </c>
    </row>
    <row r="307" spans="2:16" ht="10.5" customHeight="1" x14ac:dyDescent="0.2">
      <c r="B307" s="39"/>
      <c r="C307" s="39"/>
      <c r="D307" s="39"/>
      <c r="E307" s="40" t="s">
        <v>320</v>
      </c>
      <c r="F307" s="40"/>
      <c r="G307" s="3" t="s">
        <v>314</v>
      </c>
      <c r="H307" s="36">
        <v>101.9482</v>
      </c>
      <c r="I307" s="9">
        <v>5</v>
      </c>
      <c r="J307" s="37">
        <v>509.74</v>
      </c>
      <c r="K307" s="9">
        <f t="shared" si="33"/>
        <v>10.59241798</v>
      </c>
      <c r="L307" s="9">
        <f t="shared" si="30"/>
        <v>52.961986000000003</v>
      </c>
      <c r="M307" s="9">
        <f t="shared" si="34"/>
        <v>65.195873899999995</v>
      </c>
      <c r="N307" s="9">
        <f t="shared" si="31"/>
        <v>325.97872999999998</v>
      </c>
      <c r="O307" s="9">
        <f t="shared" si="35"/>
        <v>26.159908120000001</v>
      </c>
      <c r="P307" s="9">
        <f t="shared" si="32"/>
        <v>130.799284</v>
      </c>
    </row>
    <row r="308" spans="2:16" ht="10.5" customHeight="1" x14ac:dyDescent="0.2">
      <c r="B308" s="39"/>
      <c r="C308" s="39"/>
      <c r="D308" s="39"/>
      <c r="E308" s="40" t="s">
        <v>321</v>
      </c>
      <c r="F308" s="40"/>
      <c r="G308" s="3" t="s">
        <v>314</v>
      </c>
      <c r="H308" s="36">
        <v>156.7612</v>
      </c>
      <c r="I308" s="9">
        <v>3</v>
      </c>
      <c r="J308" s="37">
        <v>470.28</v>
      </c>
      <c r="K308" s="9">
        <f t="shared" si="33"/>
        <v>16.287488680000003</v>
      </c>
      <c r="L308" s="9">
        <f t="shared" si="30"/>
        <v>48.862091999999997</v>
      </c>
      <c r="M308" s="9">
        <f t="shared" si="34"/>
        <v>100.2487874</v>
      </c>
      <c r="N308" s="9">
        <f t="shared" si="31"/>
        <v>300.74405999999999</v>
      </c>
      <c r="O308" s="9">
        <f t="shared" si="35"/>
        <v>40.224923920000002</v>
      </c>
      <c r="P308" s="9">
        <f t="shared" si="32"/>
        <v>120.67384799999999</v>
      </c>
    </row>
    <row r="309" spans="2:16" ht="10.5" customHeight="1" x14ac:dyDescent="0.2">
      <c r="B309" s="39"/>
      <c r="C309" s="39"/>
      <c r="D309" s="39"/>
      <c r="E309" s="48" t="s">
        <v>322</v>
      </c>
      <c r="F309" s="49"/>
      <c r="G309" s="3" t="s">
        <v>314</v>
      </c>
      <c r="H309" s="36">
        <v>29.2667</v>
      </c>
      <c r="I309" s="9">
        <v>15</v>
      </c>
      <c r="J309" s="37">
        <v>439</v>
      </c>
      <c r="K309" s="9">
        <f t="shared" si="33"/>
        <v>3.0408101300000001</v>
      </c>
      <c r="L309" s="9">
        <f t="shared" si="30"/>
        <v>45.612100000000005</v>
      </c>
      <c r="M309" s="9">
        <f t="shared" si="34"/>
        <v>18.71605465</v>
      </c>
      <c r="N309" s="9">
        <f t="shared" si="31"/>
        <v>280.7405</v>
      </c>
      <c r="O309" s="9">
        <f t="shared" si="35"/>
        <v>7.5098352200000003</v>
      </c>
      <c r="P309" s="9">
        <f t="shared" si="32"/>
        <v>112.6474</v>
      </c>
    </row>
    <row r="310" spans="2:16" ht="10.5" customHeight="1" x14ac:dyDescent="0.2">
      <c r="B310" s="39"/>
      <c r="C310" s="39"/>
      <c r="D310" s="39"/>
      <c r="E310" s="40" t="s">
        <v>323</v>
      </c>
      <c r="F310" s="40"/>
      <c r="G310" s="3" t="s">
        <v>314</v>
      </c>
      <c r="H310" s="36">
        <v>55.184699999999999</v>
      </c>
      <c r="I310" s="9">
        <v>12</v>
      </c>
      <c r="J310" s="37">
        <v>662.22</v>
      </c>
      <c r="K310" s="9">
        <f t="shared" si="33"/>
        <v>5.7336903299999999</v>
      </c>
      <c r="L310" s="9">
        <f t="shared" si="30"/>
        <v>68.804658000000003</v>
      </c>
      <c r="M310" s="9">
        <f t="shared" si="34"/>
        <v>35.290615649999999</v>
      </c>
      <c r="N310" s="9">
        <f t="shared" si="31"/>
        <v>423.48969</v>
      </c>
      <c r="O310" s="9">
        <f t="shared" si="35"/>
        <v>14.16039402</v>
      </c>
      <c r="P310" s="9">
        <f t="shared" si="32"/>
        <v>169.92565200000001</v>
      </c>
    </row>
    <row r="311" spans="2:16" ht="10.5" customHeight="1" x14ac:dyDescent="0.2">
      <c r="B311" s="41"/>
      <c r="C311" s="42"/>
      <c r="D311" s="43"/>
      <c r="E311" s="41"/>
      <c r="F311" s="43"/>
      <c r="G311" s="2"/>
      <c r="H311" s="29"/>
      <c r="I311" s="4"/>
      <c r="J311" s="11">
        <f>SUM(J300:J310)</f>
        <v>22760.59</v>
      </c>
      <c r="K311" s="11"/>
      <c r="L311" s="11">
        <f>SUM(L300:L310)</f>
        <v>2364.8253009999994</v>
      </c>
      <c r="M311" s="11"/>
      <c r="N311" s="11">
        <f>SUM(N300:N310)</f>
        <v>14555.397305</v>
      </c>
      <c r="O311" s="11"/>
      <c r="P311" s="11">
        <f>SUM(P300:P310)</f>
        <v>5840.3673939999999</v>
      </c>
    </row>
    <row r="312" spans="2:16" ht="10.5" customHeight="1" x14ac:dyDescent="0.2">
      <c r="B312" s="4"/>
      <c r="C312" s="5"/>
      <c r="D312" s="6"/>
      <c r="E312" s="4"/>
      <c r="F312" s="6"/>
      <c r="G312" s="41"/>
      <c r="H312" s="42"/>
      <c r="I312" s="42"/>
      <c r="J312" s="43"/>
      <c r="K312" s="6"/>
      <c r="L312" s="11">
        <f>+L311</f>
        <v>2364.8253009999994</v>
      </c>
      <c r="M312" s="11"/>
      <c r="N312" s="11">
        <f>+L312+N311</f>
        <v>16920.222605999999</v>
      </c>
      <c r="O312" s="11"/>
      <c r="P312" s="11">
        <f>+N312+P311</f>
        <v>22760.59</v>
      </c>
    </row>
    <row r="313" spans="2:16" ht="10.5" customHeight="1" x14ac:dyDescent="0.2">
      <c r="B313" s="55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7"/>
    </row>
    <row r="314" spans="2:16" ht="10.5" customHeight="1" x14ac:dyDescent="0.2">
      <c r="B314" s="4"/>
      <c r="C314" s="5"/>
      <c r="D314" s="6"/>
      <c r="E314" s="4"/>
      <c r="F314" s="6"/>
      <c r="G314" s="2"/>
      <c r="H314" s="29"/>
      <c r="I314" s="26" t="s">
        <v>324</v>
      </c>
      <c r="J314" s="11">
        <f>+J311+J297+J14</f>
        <v>570149.41000000027</v>
      </c>
      <c r="K314" s="11"/>
      <c r="L314" s="11">
        <f>+L311+L297+L14</f>
        <v>59238.523698999976</v>
      </c>
      <c r="M314" s="11"/>
      <c r="N314" s="11">
        <f>+N311+N297+N14</f>
        <v>364610.54769500007</v>
      </c>
      <c r="O314" s="11"/>
      <c r="P314" s="11">
        <f>+P311+P297+P14</f>
        <v>146300.33860600003</v>
      </c>
    </row>
    <row r="315" spans="2:16" ht="10.5" customHeight="1" x14ac:dyDescent="0.2">
      <c r="B315" s="4"/>
      <c r="C315" s="5"/>
      <c r="D315" s="6"/>
      <c r="E315" s="52" t="s">
        <v>330</v>
      </c>
      <c r="F315" s="53"/>
      <c r="G315" s="53"/>
      <c r="H315" s="53"/>
      <c r="I315" s="4"/>
      <c r="J315" s="25"/>
      <c r="K315" s="11"/>
      <c r="L315" s="11">
        <f>+L314</f>
        <v>59238.523698999976</v>
      </c>
      <c r="M315" s="11"/>
      <c r="N315" s="11">
        <f>+L315+N314</f>
        <v>423849.07139400003</v>
      </c>
      <c r="O315" s="11"/>
      <c r="P315" s="11">
        <f>+N315+P314</f>
        <v>570149.41</v>
      </c>
    </row>
    <row r="316" spans="2:16" ht="10.5" customHeight="1" x14ac:dyDescent="0.2">
      <c r="B316" s="4"/>
      <c r="C316" s="5"/>
      <c r="D316" s="6"/>
      <c r="E316" s="54"/>
      <c r="F316" s="54"/>
      <c r="G316" s="2"/>
      <c r="H316" s="29"/>
      <c r="I316" s="4"/>
      <c r="J316" s="25"/>
      <c r="K316" s="11"/>
      <c r="L316" s="13">
        <f>L314/J314</f>
        <v>0.10389999999999991</v>
      </c>
      <c r="M316" s="13"/>
      <c r="N316" s="13">
        <f>N314/$J$314</f>
        <v>0.63949999999999985</v>
      </c>
      <c r="O316" s="13"/>
      <c r="P316" s="13">
        <f>P314/$J$314</f>
        <v>0.25659999999999994</v>
      </c>
    </row>
    <row r="317" spans="2:16" ht="10.5" customHeight="1" x14ac:dyDescent="0.2">
      <c r="B317" s="4"/>
      <c r="C317" s="5"/>
      <c r="D317" s="6"/>
      <c r="E317" s="52" t="s">
        <v>329</v>
      </c>
      <c r="F317" s="53"/>
      <c r="G317" s="53"/>
      <c r="H317" s="53"/>
      <c r="I317" s="4"/>
      <c r="J317" s="24">
        <f>+J311+J297+J14</f>
        <v>570149.41000000027</v>
      </c>
      <c r="K317" s="11"/>
      <c r="L317" s="13">
        <f>+L316</f>
        <v>0.10389999999999991</v>
      </c>
      <c r="M317" s="13"/>
      <c r="N317" s="13">
        <f>+L317+N316</f>
        <v>0.74339999999999973</v>
      </c>
      <c r="O317" s="13"/>
      <c r="P317" s="13">
        <f>+N317+P316</f>
        <v>0.99999999999999967</v>
      </c>
    </row>
    <row r="318" spans="2:16" x14ac:dyDescent="0.2">
      <c r="B318" s="41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3"/>
    </row>
    <row r="319" spans="2:16" ht="10.5" customHeight="1" x14ac:dyDescent="0.2">
      <c r="J319" s="33"/>
      <c r="K319" s="1"/>
    </row>
    <row r="320" spans="2:16" ht="14.25" customHeight="1" x14ac:dyDescent="0.2"/>
    <row r="321" spans="10:10" ht="12.75" customHeight="1" x14ac:dyDescent="0.2">
      <c r="J321" s="38"/>
    </row>
  </sheetData>
  <mergeCells count="620">
    <mergeCell ref="B2:E5"/>
    <mergeCell ref="B10:P10"/>
    <mergeCell ref="M7:N7"/>
    <mergeCell ref="O7:P7"/>
    <mergeCell ref="B14:D14"/>
    <mergeCell ref="E14:F14"/>
    <mergeCell ref="C6:J6"/>
    <mergeCell ref="C7:J7"/>
    <mergeCell ref="K8:L8"/>
    <mergeCell ref="K7:L7"/>
    <mergeCell ref="M8:N8"/>
    <mergeCell ref="O8:P8"/>
    <mergeCell ref="B9:C9"/>
    <mergeCell ref="K6:P6"/>
    <mergeCell ref="B11:D11"/>
    <mergeCell ref="E11:F11"/>
    <mergeCell ref="B8:C8"/>
    <mergeCell ref="E8:F8"/>
    <mergeCell ref="E304:F304"/>
    <mergeCell ref="E306:F306"/>
    <mergeCell ref="E309:F309"/>
    <mergeCell ref="E311:F311"/>
    <mergeCell ref="G298:J298"/>
    <mergeCell ref="B310:D310"/>
    <mergeCell ref="E254:F254"/>
    <mergeCell ref="E280:F280"/>
    <mergeCell ref="E284:F284"/>
    <mergeCell ref="E286:F286"/>
    <mergeCell ref="E289:F289"/>
    <mergeCell ref="E290:F290"/>
    <mergeCell ref="E282:F282"/>
    <mergeCell ref="B254:D254"/>
    <mergeCell ref="B255:D255"/>
    <mergeCell ref="E255:F255"/>
    <mergeCell ref="B268:D268"/>
    <mergeCell ref="E268:F268"/>
    <mergeCell ref="B269:D269"/>
    <mergeCell ref="B266:D266"/>
    <mergeCell ref="E266:F266"/>
    <mergeCell ref="B267:D267"/>
    <mergeCell ref="E267:F267"/>
    <mergeCell ref="B264:D264"/>
    <mergeCell ref="E260:F260"/>
    <mergeCell ref="B260:D260"/>
    <mergeCell ref="E292:F292"/>
    <mergeCell ref="E297:F297"/>
    <mergeCell ref="B299:P299"/>
    <mergeCell ref="E302:F302"/>
    <mergeCell ref="B285:D285"/>
    <mergeCell ref="E285:F285"/>
    <mergeCell ref="E293:F293"/>
    <mergeCell ref="E294:F294"/>
    <mergeCell ref="E295:F295"/>
    <mergeCell ref="B297:D297"/>
    <mergeCell ref="E272:F272"/>
    <mergeCell ref="B296:D296"/>
    <mergeCell ref="E296:F296"/>
    <mergeCell ref="E269:F269"/>
    <mergeCell ref="E271:F271"/>
    <mergeCell ref="B283:D283"/>
    <mergeCell ref="E283:F283"/>
    <mergeCell ref="B294:D294"/>
    <mergeCell ref="B295:D295"/>
    <mergeCell ref="B286:D286"/>
    <mergeCell ref="B287:D287"/>
    <mergeCell ref="E287:F287"/>
    <mergeCell ref="B284:D284"/>
    <mergeCell ref="E277:F277"/>
    <mergeCell ref="B280:D280"/>
    <mergeCell ref="B272:D272"/>
    <mergeCell ref="B273:D273"/>
    <mergeCell ref="E273:F273"/>
    <mergeCell ref="B270:D270"/>
    <mergeCell ref="E270:F270"/>
    <mergeCell ref="B271:D271"/>
    <mergeCell ref="B318:P318"/>
    <mergeCell ref="B302:D302"/>
    <mergeCell ref="B303:D303"/>
    <mergeCell ref="E303:F303"/>
    <mergeCell ref="B300:D300"/>
    <mergeCell ref="E300:F300"/>
    <mergeCell ref="B301:D301"/>
    <mergeCell ref="E301:F301"/>
    <mergeCell ref="E317:H317"/>
    <mergeCell ref="B306:D306"/>
    <mergeCell ref="B304:D304"/>
    <mergeCell ref="B305:D305"/>
    <mergeCell ref="E305:F305"/>
    <mergeCell ref="E316:F316"/>
    <mergeCell ref="E315:H315"/>
    <mergeCell ref="G312:J312"/>
    <mergeCell ref="B308:D308"/>
    <mergeCell ref="E308:F308"/>
    <mergeCell ref="B309:D309"/>
    <mergeCell ref="E310:F310"/>
    <mergeCell ref="B311:D311"/>
    <mergeCell ref="B313:P313"/>
    <mergeCell ref="B307:D307"/>
    <mergeCell ref="E307:F307"/>
    <mergeCell ref="B1:P1"/>
    <mergeCell ref="F2:P5"/>
    <mergeCell ref="B292:D292"/>
    <mergeCell ref="B293:D293"/>
    <mergeCell ref="B290:D290"/>
    <mergeCell ref="B291:D291"/>
    <mergeCell ref="E291:F291"/>
    <mergeCell ref="B288:D288"/>
    <mergeCell ref="E288:F288"/>
    <mergeCell ref="B289:D289"/>
    <mergeCell ref="B281:D281"/>
    <mergeCell ref="E281:F281"/>
    <mergeCell ref="B278:D278"/>
    <mergeCell ref="E278:F278"/>
    <mergeCell ref="B279:D279"/>
    <mergeCell ref="E279:F279"/>
    <mergeCell ref="B282:D282"/>
    <mergeCell ref="B276:D276"/>
    <mergeCell ref="E276:F276"/>
    <mergeCell ref="B277:D277"/>
    <mergeCell ref="B274:D274"/>
    <mergeCell ref="E274:F274"/>
    <mergeCell ref="B275:D275"/>
    <mergeCell ref="E275:F275"/>
    <mergeCell ref="E264:F264"/>
    <mergeCell ref="B265:D265"/>
    <mergeCell ref="E265:F265"/>
    <mergeCell ref="B262:D262"/>
    <mergeCell ref="E262:F262"/>
    <mergeCell ref="B263:D263"/>
    <mergeCell ref="E263:F263"/>
    <mergeCell ref="B261:D261"/>
    <mergeCell ref="E261:F261"/>
    <mergeCell ref="B258:D258"/>
    <mergeCell ref="B259:D259"/>
    <mergeCell ref="B256:D256"/>
    <mergeCell ref="E256:F256"/>
    <mergeCell ref="B257:D257"/>
    <mergeCell ref="E257:F257"/>
    <mergeCell ref="B252:D252"/>
    <mergeCell ref="E252:F252"/>
    <mergeCell ref="B253:D253"/>
    <mergeCell ref="E253:F253"/>
    <mergeCell ref="E258:F258"/>
    <mergeCell ref="E259:F259"/>
    <mergeCell ref="B250:D250"/>
    <mergeCell ref="E250:F250"/>
    <mergeCell ref="B251:D251"/>
    <mergeCell ref="E251:F251"/>
    <mergeCell ref="B248:D248"/>
    <mergeCell ref="B249:D249"/>
    <mergeCell ref="B246:D246"/>
    <mergeCell ref="E246:F246"/>
    <mergeCell ref="B247:D247"/>
    <mergeCell ref="E247:F247"/>
    <mergeCell ref="E248:F248"/>
    <mergeCell ref="E249:F249"/>
    <mergeCell ref="B244:D244"/>
    <mergeCell ref="E244:F244"/>
    <mergeCell ref="B245:D245"/>
    <mergeCell ref="E245:F245"/>
    <mergeCell ref="B242:D242"/>
    <mergeCell ref="E242:F242"/>
    <mergeCell ref="B243:D243"/>
    <mergeCell ref="E243:F243"/>
    <mergeCell ref="B240:D240"/>
    <mergeCell ref="E240:F240"/>
    <mergeCell ref="B241:D241"/>
    <mergeCell ref="E241:F241"/>
    <mergeCell ref="B238:D238"/>
    <mergeCell ref="B239:D239"/>
    <mergeCell ref="E239:F239"/>
    <mergeCell ref="B236:D236"/>
    <mergeCell ref="E236:F236"/>
    <mergeCell ref="B237:D237"/>
    <mergeCell ref="E237:F237"/>
    <mergeCell ref="B234:D234"/>
    <mergeCell ref="B235:D235"/>
    <mergeCell ref="E235:F235"/>
    <mergeCell ref="E234:F234"/>
    <mergeCell ref="E238:F238"/>
    <mergeCell ref="B232:D232"/>
    <mergeCell ref="E232:F232"/>
    <mergeCell ref="B233:D233"/>
    <mergeCell ref="E233:F233"/>
    <mergeCell ref="B230:D230"/>
    <mergeCell ref="E230:F230"/>
    <mergeCell ref="B231:D231"/>
    <mergeCell ref="E231:F231"/>
    <mergeCell ref="B228:D228"/>
    <mergeCell ref="E228:F228"/>
    <mergeCell ref="B229:D229"/>
    <mergeCell ref="E229:F229"/>
    <mergeCell ref="B226:D226"/>
    <mergeCell ref="E226:F226"/>
    <mergeCell ref="B227:D227"/>
    <mergeCell ref="E227:F227"/>
    <mergeCell ref="B224:D224"/>
    <mergeCell ref="B225:D225"/>
    <mergeCell ref="B222:D222"/>
    <mergeCell ref="B223:D223"/>
    <mergeCell ref="E223:F223"/>
    <mergeCell ref="E225:F225"/>
    <mergeCell ref="B220:D220"/>
    <mergeCell ref="E220:F220"/>
    <mergeCell ref="B221:D221"/>
    <mergeCell ref="E222:F222"/>
    <mergeCell ref="E224:F224"/>
    <mergeCell ref="B218:D218"/>
    <mergeCell ref="B219:D219"/>
    <mergeCell ref="E219:F219"/>
    <mergeCell ref="B216:D216"/>
    <mergeCell ref="E216:F216"/>
    <mergeCell ref="B217:D217"/>
    <mergeCell ref="E217:F217"/>
    <mergeCell ref="E218:F218"/>
    <mergeCell ref="E221:F221"/>
    <mergeCell ref="B214:D214"/>
    <mergeCell ref="E214:F214"/>
    <mergeCell ref="B215:D215"/>
    <mergeCell ref="E215:F215"/>
    <mergeCell ref="B212:D212"/>
    <mergeCell ref="E212:F212"/>
    <mergeCell ref="B213:D213"/>
    <mergeCell ref="E213:F213"/>
    <mergeCell ref="B210:D210"/>
    <mergeCell ref="E210:F210"/>
    <mergeCell ref="B211:D211"/>
    <mergeCell ref="E211:F211"/>
    <mergeCell ref="B208:D208"/>
    <mergeCell ref="E208:F208"/>
    <mergeCell ref="B209:D209"/>
    <mergeCell ref="E209:F209"/>
    <mergeCell ref="B206:D206"/>
    <mergeCell ref="E206:F206"/>
    <mergeCell ref="B207:D207"/>
    <mergeCell ref="B204:D204"/>
    <mergeCell ref="E204:F204"/>
    <mergeCell ref="B205:D205"/>
    <mergeCell ref="E205:F205"/>
    <mergeCell ref="E207:F207"/>
    <mergeCell ref="B202:D202"/>
    <mergeCell ref="E202:F202"/>
    <mergeCell ref="B203:D203"/>
    <mergeCell ref="E203:F203"/>
    <mergeCell ref="B200:D200"/>
    <mergeCell ref="E200:F200"/>
    <mergeCell ref="B201:D201"/>
    <mergeCell ref="B198:D198"/>
    <mergeCell ref="B199:D199"/>
    <mergeCell ref="E198:F198"/>
    <mergeCell ref="E199:F199"/>
    <mergeCell ref="E201:F201"/>
    <mergeCell ref="B196:D196"/>
    <mergeCell ref="B197:D197"/>
    <mergeCell ref="E197:F197"/>
    <mergeCell ref="B194:D194"/>
    <mergeCell ref="E194:F194"/>
    <mergeCell ref="B195:D195"/>
    <mergeCell ref="E195:F195"/>
    <mergeCell ref="E196:F196"/>
    <mergeCell ref="B192:D192"/>
    <mergeCell ref="E192:F192"/>
    <mergeCell ref="B193:D193"/>
    <mergeCell ref="E193:F193"/>
    <mergeCell ref="B190:D190"/>
    <mergeCell ref="E190:F190"/>
    <mergeCell ref="B191:D191"/>
    <mergeCell ref="E191:F191"/>
    <mergeCell ref="B188:D188"/>
    <mergeCell ref="E188:F188"/>
    <mergeCell ref="B189:D189"/>
    <mergeCell ref="E189:F189"/>
    <mergeCell ref="B186:D186"/>
    <mergeCell ref="E186:F186"/>
    <mergeCell ref="B187:D187"/>
    <mergeCell ref="E187:F187"/>
    <mergeCell ref="B184:D184"/>
    <mergeCell ref="E184:F184"/>
    <mergeCell ref="B185:D185"/>
    <mergeCell ref="E185:F185"/>
    <mergeCell ref="B182:D182"/>
    <mergeCell ref="E182:F182"/>
    <mergeCell ref="B183:D183"/>
    <mergeCell ref="E183:F183"/>
    <mergeCell ref="B180:D180"/>
    <mergeCell ref="E180:F180"/>
    <mergeCell ref="B181:D181"/>
    <mergeCell ref="E181:F181"/>
    <mergeCell ref="B178:D178"/>
    <mergeCell ref="E178:F178"/>
    <mergeCell ref="B179:D179"/>
    <mergeCell ref="E179:F179"/>
    <mergeCell ref="B176:D176"/>
    <mergeCell ref="E176:F176"/>
    <mergeCell ref="B177:D177"/>
    <mergeCell ref="E177:F177"/>
    <mergeCell ref="B174:D174"/>
    <mergeCell ref="E174:F174"/>
    <mergeCell ref="B175:D175"/>
    <mergeCell ref="E175:F175"/>
    <mergeCell ref="B172:D172"/>
    <mergeCell ref="E172:F172"/>
    <mergeCell ref="B173:D173"/>
    <mergeCell ref="E173:F173"/>
    <mergeCell ref="B170:D170"/>
    <mergeCell ref="E170:F170"/>
    <mergeCell ref="B171:D171"/>
    <mergeCell ref="E171:F171"/>
    <mergeCell ref="B168:D168"/>
    <mergeCell ref="E168:F168"/>
    <mergeCell ref="B169:D169"/>
    <mergeCell ref="E169:F169"/>
    <mergeCell ref="B166:D166"/>
    <mergeCell ref="E166:F166"/>
    <mergeCell ref="B167:D167"/>
    <mergeCell ref="E167:F167"/>
    <mergeCell ref="B164:D164"/>
    <mergeCell ref="E164:F164"/>
    <mergeCell ref="B165:D165"/>
    <mergeCell ref="E165:F165"/>
    <mergeCell ref="B162:D162"/>
    <mergeCell ref="E162:F162"/>
    <mergeCell ref="B163:D163"/>
    <mergeCell ref="E163:F163"/>
    <mergeCell ref="B160:D160"/>
    <mergeCell ref="E160:F160"/>
    <mergeCell ref="B161:D161"/>
    <mergeCell ref="E161:F161"/>
    <mergeCell ref="B158:D158"/>
    <mergeCell ref="E158:F158"/>
    <mergeCell ref="B159:D159"/>
    <mergeCell ref="E159:F159"/>
    <mergeCell ref="B156:D156"/>
    <mergeCell ref="B157:D157"/>
    <mergeCell ref="E157:F157"/>
    <mergeCell ref="B154:D154"/>
    <mergeCell ref="B155:D155"/>
    <mergeCell ref="E155:F155"/>
    <mergeCell ref="E154:F154"/>
    <mergeCell ref="E156:F156"/>
    <mergeCell ref="B152:D152"/>
    <mergeCell ref="B153:D153"/>
    <mergeCell ref="E153:F153"/>
    <mergeCell ref="B150:D150"/>
    <mergeCell ref="E150:F150"/>
    <mergeCell ref="B151:D151"/>
    <mergeCell ref="E151:F151"/>
    <mergeCell ref="E152:F152"/>
    <mergeCell ref="B148:D148"/>
    <mergeCell ref="E148:F148"/>
    <mergeCell ref="B149:D149"/>
    <mergeCell ref="E149:F149"/>
    <mergeCell ref="B146:D146"/>
    <mergeCell ref="E146:F146"/>
    <mergeCell ref="B147:D147"/>
    <mergeCell ref="E147:F147"/>
    <mergeCell ref="B144:D144"/>
    <mergeCell ref="E144:F144"/>
    <mergeCell ref="B145:D145"/>
    <mergeCell ref="E145:F145"/>
    <mergeCell ref="B142:D142"/>
    <mergeCell ref="E142:F142"/>
    <mergeCell ref="B143:D143"/>
    <mergeCell ref="E143:F143"/>
    <mergeCell ref="B140:D140"/>
    <mergeCell ref="E140:F140"/>
    <mergeCell ref="B141:D141"/>
    <mergeCell ref="B138:D138"/>
    <mergeCell ref="E138:F138"/>
    <mergeCell ref="B139:D139"/>
    <mergeCell ref="E139:F139"/>
    <mergeCell ref="E141:F141"/>
    <mergeCell ref="B136:D136"/>
    <mergeCell ref="E136:F136"/>
    <mergeCell ref="B137:D137"/>
    <mergeCell ref="E137:F137"/>
    <mergeCell ref="B134:D134"/>
    <mergeCell ref="E134:F134"/>
    <mergeCell ref="B135:D135"/>
    <mergeCell ref="E135:F135"/>
    <mergeCell ref="B132:D132"/>
    <mergeCell ref="E132:F132"/>
    <mergeCell ref="B133:D133"/>
    <mergeCell ref="E133:F133"/>
    <mergeCell ref="B130:D130"/>
    <mergeCell ref="E130:F130"/>
    <mergeCell ref="B131:D131"/>
    <mergeCell ref="E131:F131"/>
    <mergeCell ref="B128:D128"/>
    <mergeCell ref="B129:D129"/>
    <mergeCell ref="B126:D126"/>
    <mergeCell ref="E126:F126"/>
    <mergeCell ref="B127:D127"/>
    <mergeCell ref="E127:F127"/>
    <mergeCell ref="E128:F128"/>
    <mergeCell ref="E129:F129"/>
    <mergeCell ref="B124:D124"/>
    <mergeCell ref="E124:F124"/>
    <mergeCell ref="B125:D125"/>
    <mergeCell ref="B122:D122"/>
    <mergeCell ref="E122:F122"/>
    <mergeCell ref="B123:D123"/>
    <mergeCell ref="E123:F123"/>
    <mergeCell ref="E125:F125"/>
    <mergeCell ref="B120:D120"/>
    <mergeCell ref="B121:D121"/>
    <mergeCell ref="B118:D118"/>
    <mergeCell ref="E118:F118"/>
    <mergeCell ref="B119:D119"/>
    <mergeCell ref="E119:F119"/>
    <mergeCell ref="E120:F120"/>
    <mergeCell ref="E121:F121"/>
    <mergeCell ref="B116:D116"/>
    <mergeCell ref="E116:F116"/>
    <mergeCell ref="B117:D117"/>
    <mergeCell ref="E117:F117"/>
    <mergeCell ref="B114:D114"/>
    <mergeCell ref="E114:F114"/>
    <mergeCell ref="B115:D115"/>
    <mergeCell ref="E115:F115"/>
    <mergeCell ref="B112:D112"/>
    <mergeCell ref="E112:F112"/>
    <mergeCell ref="B113:D113"/>
    <mergeCell ref="E113:F113"/>
    <mergeCell ref="B110:D110"/>
    <mergeCell ref="B111:D111"/>
    <mergeCell ref="E111:F111"/>
    <mergeCell ref="E110:F110"/>
    <mergeCell ref="B108:D108"/>
    <mergeCell ref="B109:D109"/>
    <mergeCell ref="E109:F109"/>
    <mergeCell ref="B106:D106"/>
    <mergeCell ref="E106:F106"/>
    <mergeCell ref="B107:D107"/>
    <mergeCell ref="E107:F107"/>
    <mergeCell ref="E108:F108"/>
    <mergeCell ref="B104:D104"/>
    <mergeCell ref="E104:F104"/>
    <mergeCell ref="B105:D105"/>
    <mergeCell ref="E105:F105"/>
    <mergeCell ref="B102:D102"/>
    <mergeCell ref="B103:D103"/>
    <mergeCell ref="E102:F102"/>
    <mergeCell ref="E103:F103"/>
    <mergeCell ref="B100:D100"/>
    <mergeCell ref="E100:F100"/>
    <mergeCell ref="B101:D101"/>
    <mergeCell ref="E101:F101"/>
    <mergeCell ref="B98:D98"/>
    <mergeCell ref="E98:F98"/>
    <mergeCell ref="B99:D99"/>
    <mergeCell ref="E99:F99"/>
    <mergeCell ref="B96:D96"/>
    <mergeCell ref="E96:F96"/>
    <mergeCell ref="B97:D97"/>
    <mergeCell ref="E97:F97"/>
    <mergeCell ref="B94:D94"/>
    <mergeCell ref="E94:F94"/>
    <mergeCell ref="B95:D95"/>
    <mergeCell ref="E95:F95"/>
    <mergeCell ref="B92:D92"/>
    <mergeCell ref="B93:D93"/>
    <mergeCell ref="E93:F93"/>
    <mergeCell ref="B90:D90"/>
    <mergeCell ref="E90:F90"/>
    <mergeCell ref="B91:D91"/>
    <mergeCell ref="E91:F91"/>
    <mergeCell ref="E92:F92"/>
    <mergeCell ref="B88:D88"/>
    <mergeCell ref="E88:F88"/>
    <mergeCell ref="B89:D89"/>
    <mergeCell ref="E89:F89"/>
    <mergeCell ref="B86:D86"/>
    <mergeCell ref="E86:F86"/>
    <mergeCell ref="B87:D87"/>
    <mergeCell ref="E87:F87"/>
    <mergeCell ref="B84:D84"/>
    <mergeCell ref="E84:F84"/>
    <mergeCell ref="B85:D85"/>
    <mergeCell ref="E85:F85"/>
    <mergeCell ref="B82:D82"/>
    <mergeCell ref="B83:D83"/>
    <mergeCell ref="E82:F82"/>
    <mergeCell ref="E83:F83"/>
    <mergeCell ref="B80:D80"/>
    <mergeCell ref="B81:D81"/>
    <mergeCell ref="B78:D78"/>
    <mergeCell ref="E78:F78"/>
    <mergeCell ref="B79:D79"/>
    <mergeCell ref="E79:F79"/>
    <mergeCell ref="E80:F80"/>
    <mergeCell ref="E81:F81"/>
    <mergeCell ref="B76:D76"/>
    <mergeCell ref="E76:F76"/>
    <mergeCell ref="B77:D77"/>
    <mergeCell ref="E77:F77"/>
    <mergeCell ref="B74:D74"/>
    <mergeCell ref="E74:F74"/>
    <mergeCell ref="B75:D75"/>
    <mergeCell ref="E75:F75"/>
    <mergeCell ref="B72:D72"/>
    <mergeCell ref="E72:F72"/>
    <mergeCell ref="B73:D73"/>
    <mergeCell ref="E73:F73"/>
    <mergeCell ref="B70:D70"/>
    <mergeCell ref="B71:D71"/>
    <mergeCell ref="E70:F70"/>
    <mergeCell ref="E71:F71"/>
    <mergeCell ref="B68:D68"/>
    <mergeCell ref="B69:D69"/>
    <mergeCell ref="B66:D66"/>
    <mergeCell ref="B67:D67"/>
    <mergeCell ref="E67:F67"/>
    <mergeCell ref="B64:D64"/>
    <mergeCell ref="E64:F64"/>
    <mergeCell ref="B65:D65"/>
    <mergeCell ref="E65:F65"/>
    <mergeCell ref="E69:F69"/>
    <mergeCell ref="E66:F66"/>
    <mergeCell ref="E68:F68"/>
    <mergeCell ref="B62:D62"/>
    <mergeCell ref="E62:F62"/>
    <mergeCell ref="B63:D63"/>
    <mergeCell ref="B60:D60"/>
    <mergeCell ref="E60:F60"/>
    <mergeCell ref="B61:D61"/>
    <mergeCell ref="E61:F61"/>
    <mergeCell ref="B58:D58"/>
    <mergeCell ref="E58:F58"/>
    <mergeCell ref="B59:D59"/>
    <mergeCell ref="E59:F59"/>
    <mergeCell ref="E63:F63"/>
    <mergeCell ref="B56:D56"/>
    <mergeCell ref="E56:F56"/>
    <mergeCell ref="B57:D57"/>
    <mergeCell ref="E57:F57"/>
    <mergeCell ref="B54:D54"/>
    <mergeCell ref="E54:F54"/>
    <mergeCell ref="B55:D55"/>
    <mergeCell ref="E55:F55"/>
    <mergeCell ref="B52:D52"/>
    <mergeCell ref="E52:F52"/>
    <mergeCell ref="B53:D53"/>
    <mergeCell ref="E53:F53"/>
    <mergeCell ref="B50:D50"/>
    <mergeCell ref="E50:F50"/>
    <mergeCell ref="B51:D51"/>
    <mergeCell ref="E51:F51"/>
    <mergeCell ref="B48:D48"/>
    <mergeCell ref="E48:F48"/>
    <mergeCell ref="B49:D49"/>
    <mergeCell ref="E49:F49"/>
    <mergeCell ref="B46:D46"/>
    <mergeCell ref="B47:D47"/>
    <mergeCell ref="E46:F46"/>
    <mergeCell ref="E47:F47"/>
    <mergeCell ref="B44:D44"/>
    <mergeCell ref="E44:F44"/>
    <mergeCell ref="B45:D45"/>
    <mergeCell ref="E45:F45"/>
    <mergeCell ref="B42:D42"/>
    <mergeCell ref="E42:F42"/>
    <mergeCell ref="B43:D43"/>
    <mergeCell ref="B40:D40"/>
    <mergeCell ref="B41:D41"/>
    <mergeCell ref="E41:F41"/>
    <mergeCell ref="E40:F40"/>
    <mergeCell ref="E43:F43"/>
    <mergeCell ref="B38:D38"/>
    <mergeCell ref="E38:F38"/>
    <mergeCell ref="B39:D39"/>
    <mergeCell ref="E39:F39"/>
    <mergeCell ref="B36:D36"/>
    <mergeCell ref="E36:F36"/>
    <mergeCell ref="B37:D37"/>
    <mergeCell ref="E37:F37"/>
    <mergeCell ref="B34:D34"/>
    <mergeCell ref="B35:D35"/>
    <mergeCell ref="E35:F35"/>
    <mergeCell ref="E34:F34"/>
    <mergeCell ref="B32:D32"/>
    <mergeCell ref="E32:F32"/>
    <mergeCell ref="B33:D33"/>
    <mergeCell ref="E33:F33"/>
    <mergeCell ref="B30:D30"/>
    <mergeCell ref="B31:D31"/>
    <mergeCell ref="E31:F31"/>
    <mergeCell ref="B28:D28"/>
    <mergeCell ref="E28:F28"/>
    <mergeCell ref="B29:D29"/>
    <mergeCell ref="E29:F29"/>
    <mergeCell ref="E30:F30"/>
    <mergeCell ref="B26:D26"/>
    <mergeCell ref="B27:D27"/>
    <mergeCell ref="E27:F27"/>
    <mergeCell ref="B24:D24"/>
    <mergeCell ref="E24:F24"/>
    <mergeCell ref="B25:D25"/>
    <mergeCell ref="E25:F25"/>
    <mergeCell ref="B22:D22"/>
    <mergeCell ref="E22:F22"/>
    <mergeCell ref="B23:D23"/>
    <mergeCell ref="E23:F23"/>
    <mergeCell ref="B20:D20"/>
    <mergeCell ref="E20:F20"/>
    <mergeCell ref="B21:D21"/>
    <mergeCell ref="E21:F21"/>
    <mergeCell ref="B19:D19"/>
    <mergeCell ref="E19:F19"/>
    <mergeCell ref="B17:D17"/>
    <mergeCell ref="B12:D12"/>
    <mergeCell ref="E12:F12"/>
    <mergeCell ref="B13:D13"/>
    <mergeCell ref="E13:F13"/>
    <mergeCell ref="B15:D15"/>
    <mergeCell ref="E15:F15"/>
    <mergeCell ref="B16:P16"/>
    <mergeCell ref="B18:D18"/>
    <mergeCell ref="E18:F18"/>
    <mergeCell ref="G15:J15"/>
  </mergeCells>
  <pageMargins left="0.62992125984251968" right="0.59055118110236227" top="0.39370078740157483" bottom="0.78740157480314965" header="0" footer="0"/>
  <pageSetup scale="64" fitToWidth="0" fitToHeight="0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CRONOG.ADQ. MAT.</vt:lpstr>
      <vt:lpstr>'CRONOG.ADQ. MAT.'!Área_de_impresión</vt:lpstr>
      <vt:lpstr>'CRONOG.ADQ. MAT.'!Títulos_a_imprimir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WINDOWS</cp:lastModifiedBy>
  <cp:lastPrinted>2026-06-06T16:21:37Z</cp:lastPrinted>
  <dcterms:created xsi:type="dcterms:W3CDTF">2026-05-25T15:29:58Z</dcterms:created>
  <dcterms:modified xsi:type="dcterms:W3CDTF">2026-06-06T16:23:34Z</dcterms:modified>
</cp:coreProperties>
</file>