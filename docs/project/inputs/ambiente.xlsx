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02. EXP. TECN. CC. BAJO PITOCUNA\04. Planilla de metrados ✔ok\04.03. MITIGACION AMBIENTAL\"/>
    </mc:Choice>
  </mc:AlternateContent>
  <xr:revisionPtr revIDLastSave="0" documentId="13_ncr:1_{558A202A-EDCC-49DA-B54C-B8BCD1B559B4}" xr6:coauthVersionLast="47" xr6:coauthVersionMax="47" xr10:uidLastSave="{00000000-0000-0000-0000-000000000000}"/>
  <bookViews>
    <workbookView xWindow="-120" yWindow="-120" windowWidth="20730" windowHeight="11040" tabRatio="739" xr2:uid="{00000000-000D-0000-FFFF-FFFF00000000}"/>
  </bookViews>
  <sheets>
    <sheet name="MITIGACION AMBIENTAL" sheetId="25" r:id="rId1"/>
    <sheet name="Datos" sheetId="23" state="hidden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PP1">'[1]Red 12Piletas'!$E$99</definedName>
    <definedName name="__PP10">'[1]Red 12Piletas'!$E$127</definedName>
    <definedName name="__PP11">'[1]Red 12Piletas'!$E$131</definedName>
    <definedName name="__PP12">'[1]Red 12Piletas'!$E$135</definedName>
    <definedName name="__PP2">'[1]Red 12Piletas'!$E$102</definedName>
    <definedName name="__PP3">'[1]Red 12Piletas'!$E$105</definedName>
    <definedName name="__PP4">'[1]Red 12Piletas'!$E$108</definedName>
    <definedName name="__PP5">'[1]Red 12Piletas'!$E$112</definedName>
    <definedName name="__PP6">'[1]Red 12Piletas'!$E$115</definedName>
    <definedName name="__PP7">'[1]Red 12Piletas'!$E$118</definedName>
    <definedName name="__PP8">'[1]Red 12Piletas'!$E$121</definedName>
    <definedName name="__PP9">'[1]Red 12Piletas'!$E$124</definedName>
    <definedName name="_PP1">'[1]Red 12Piletas'!$E$99</definedName>
    <definedName name="_PP10">'[1]Red 12Piletas'!$E$127</definedName>
    <definedName name="_PP11">'[1]Red 12Piletas'!$E$131</definedName>
    <definedName name="_PP12">'[1]Red 12Piletas'!$E$135</definedName>
    <definedName name="_PP2">'[1]Red 12Piletas'!$E$102</definedName>
    <definedName name="_PP3">'[1]Red 12Piletas'!$E$105</definedName>
    <definedName name="_PP4">'[1]Red 12Piletas'!$E$108</definedName>
    <definedName name="_PP5">'[1]Red 12Piletas'!$E$112</definedName>
    <definedName name="_PP6">'[1]Red 12Piletas'!$E$115</definedName>
    <definedName name="_PP7">'[1]Red 12Piletas'!$E$118</definedName>
    <definedName name="_PP8">'[1]Red 12Piletas'!$E$121</definedName>
    <definedName name="_PP9">'[1]Red 12Piletas'!$E$124</definedName>
    <definedName name="A" localSheetId="0">#REF!</definedName>
    <definedName name="A">#REF!</definedName>
    <definedName name="_xlnm.Print_Area" localSheetId="1">Datos!$A$1:$K$25</definedName>
    <definedName name="_xlnm.Print_Area" localSheetId="0">'MITIGACION AMBIENTAL'!$A$1:$I$72</definedName>
    <definedName name="B" localSheetId="0">#REF!</definedName>
    <definedName name="B">#REF!</definedName>
    <definedName name="captac2" localSheetId="0">#REF!</definedName>
    <definedName name="captac2">#REF!</definedName>
    <definedName name="COSTO2.03.01" localSheetId="0">'[2]Cuadro Nº06-C.U.'!#REF!</definedName>
    <definedName name="COSTO2.03.01">'[2]Cuadro Nº06-C.U.'!#REF!</definedName>
    <definedName name="COSTO2.03.02" localSheetId="0">'[2]Cuadro Nº06-C.U.'!#REF!</definedName>
    <definedName name="COSTO2.03.02">'[2]Cuadro Nº06-C.U.'!#REF!</definedName>
    <definedName name="COSTO2.05" localSheetId="0">'[2]Cuadro Nº06-C.U.'!#REF!</definedName>
    <definedName name="COSTO2.05">'[2]Cuadro Nº06-C.U.'!#REF!</definedName>
    <definedName name="COSTO3.02" localSheetId="0">'[2]Cuadro Nº06-C.U.'!#REF!</definedName>
    <definedName name="COSTO3.02">'[2]Cuadro Nº06-C.U.'!#REF!</definedName>
    <definedName name="COSTO3.03" localSheetId="0">'[2]Cuadro Nº06-C.U.'!#REF!</definedName>
    <definedName name="COSTO3.03">'[2]Cuadro Nº06-C.U.'!#REF!</definedName>
    <definedName name="COSTO3.04" localSheetId="0">'[2]Cuadro Nº06-C.U.'!#REF!</definedName>
    <definedName name="COSTO3.04">'[2]Cuadro Nº06-C.U.'!#REF!</definedName>
    <definedName name="COSTO3.05" localSheetId="0">'[2]Cuadro Nº06-C.U.'!#REF!</definedName>
    <definedName name="COSTO3.05">'[2]Cuadro Nº06-C.U.'!#REF!</definedName>
    <definedName name="H">[3]Reser_Caset!$C$6</definedName>
    <definedName name="La" localSheetId="0">#REF!</definedName>
    <definedName name="La">#REF!</definedName>
    <definedName name="LAR" localSheetId="0">#REF!</definedName>
    <definedName name="LAR">#REF!</definedName>
    <definedName name="Largo" localSheetId="0">#REF!</definedName>
    <definedName name="Largo">#REF!</definedName>
    <definedName name="Lh" localSheetId="0">#REF!</definedName>
    <definedName name="Lh">#REF!</definedName>
    <definedName name="Lp" localSheetId="0">#REF!</definedName>
    <definedName name="Lp">#REF!</definedName>
    <definedName name="NN" localSheetId="0">#REF!</definedName>
    <definedName name="NN">#REF!</definedName>
    <definedName name="Nr" localSheetId="0">#REF!</definedName>
    <definedName name="Nr">#REF!</definedName>
    <definedName name="_xlnm.Print_Titles" localSheetId="0">'MITIGACION AMBIENTAL'!$5:$5</definedName>
    <definedName name="V">[4]Reservorios!$D$151:$D$151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25" l="1"/>
  <c r="I44" i="25" l="1"/>
  <c r="H54" i="25"/>
  <c r="H55" i="25"/>
  <c r="H56" i="25"/>
  <c r="H53" i="25"/>
  <c r="A6" i="25"/>
  <c r="H72" i="25"/>
  <c r="H69" i="25"/>
  <c r="H43" i="25"/>
  <c r="H40" i="25"/>
  <c r="I48" i="25"/>
  <c r="I50" i="25"/>
  <c r="I43" i="25" l="1"/>
  <c r="I45" i="25"/>
  <c r="I53" i="25"/>
  <c r="I54" i="25"/>
  <c r="I55" i="25"/>
  <c r="I56" i="25"/>
  <c r="I59" i="25"/>
  <c r="I66" i="25"/>
  <c r="I69" i="25"/>
  <c r="I72" i="25"/>
  <c r="I40" i="25"/>
  <c r="A38" i="25"/>
  <c r="A58" i="25" s="1"/>
  <c r="I28" i="25"/>
  <c r="I31" i="25"/>
  <c r="E21" i="23"/>
  <c r="A52" i="25" l="1"/>
  <c r="A47" i="25"/>
  <c r="A39" i="25"/>
  <c r="C4" i="23"/>
  <c r="A45" i="25" l="1"/>
  <c r="A44" i="25"/>
  <c r="A43" i="25"/>
  <c r="A56" i="25"/>
  <c r="A55" i="25"/>
  <c r="A53" i="25"/>
  <c r="A54" i="25"/>
  <c r="A48" i="25"/>
  <c r="A50" i="25"/>
  <c r="A40" i="25"/>
  <c r="A66" i="25"/>
  <c r="A72" i="25"/>
  <c r="A59" i="25"/>
  <c r="A69" i="25"/>
  <c r="C8" i="23"/>
  <c r="C17" i="23" l="1"/>
  <c r="I13" i="25" l="1"/>
  <c r="A7" i="25" l="1"/>
  <c r="A31" i="25" l="1"/>
  <c r="A28" i="25"/>
  <c r="A8" i="25"/>
  <c r="A21" i="25"/>
  <c r="A13" i="25"/>
  <c r="I21" i="25"/>
  <c r="I8" i="25"/>
  <c r="C18" i="23" l="1"/>
  <c r="C6" i="23" l="1"/>
</calcChain>
</file>

<file path=xl/sharedStrings.xml><?xml version="1.0" encoding="utf-8"?>
<sst xmlns="http://schemas.openxmlformats.org/spreadsheetml/2006/main" count="152" uniqueCount="107">
  <si>
    <t>m</t>
  </si>
  <si>
    <t>PARTIDA</t>
  </si>
  <si>
    <t>DESCRIPCION</t>
  </si>
  <si>
    <t>VECES</t>
  </si>
  <si>
    <t>LONG.</t>
  </si>
  <si>
    <t>ANCHO</t>
  </si>
  <si>
    <t>ALTURA</t>
  </si>
  <si>
    <t>SUB-TOTAL</t>
  </si>
  <si>
    <t>TOTAL</t>
  </si>
  <si>
    <t>UNID.</t>
  </si>
  <si>
    <t>Descripcion</t>
  </si>
  <si>
    <t>Cantidad</t>
  </si>
  <si>
    <t>Unidad</t>
  </si>
  <si>
    <t>Trabajadores por obra</t>
  </si>
  <si>
    <t>Horas Hombres</t>
  </si>
  <si>
    <t>Meses de Ejecucion de Obras</t>
  </si>
  <si>
    <t>Mes</t>
  </si>
  <si>
    <t>Según programacion de obra</t>
  </si>
  <si>
    <t>Dias de Ejecucion de Obras</t>
  </si>
  <si>
    <t>dias</t>
  </si>
  <si>
    <t>horas de trabajo</t>
  </si>
  <si>
    <t>Hrs</t>
  </si>
  <si>
    <t>Hombres</t>
  </si>
  <si>
    <t>Largo</t>
  </si>
  <si>
    <t>Reservorio</t>
  </si>
  <si>
    <t>Estructuras</t>
  </si>
  <si>
    <t>ancho</t>
  </si>
  <si>
    <t>Area de señalizacion</t>
  </si>
  <si>
    <t>Se concidera trabajo de avance parcial cada 100m</t>
  </si>
  <si>
    <t>Lineas y redes de agua</t>
  </si>
  <si>
    <t>Redes de alcantarillado</t>
  </si>
  <si>
    <t>Según presupuestos de agua y saneamiento, de relacion de insumos del S10</t>
  </si>
  <si>
    <t>Descripción</t>
  </si>
  <si>
    <t>Franja de servidumbre</t>
  </si>
  <si>
    <t>Longitud total de las líneas y redes de tubería Agua</t>
  </si>
  <si>
    <t>Longitud total de las líneas y redes de tubería Alcantarillado</t>
  </si>
  <si>
    <t>PTAR</t>
  </si>
  <si>
    <t>SEGURIDAD Y SALUD</t>
  </si>
  <si>
    <t>Sedimentador</t>
  </si>
  <si>
    <t>Captacion</t>
  </si>
  <si>
    <t>Trabajadores</t>
  </si>
  <si>
    <t>PTAP</t>
  </si>
  <si>
    <t>MITIGACION AMBIENTAL</t>
  </si>
  <si>
    <t>PLAN MITIGACION AMBIENTAL</t>
  </si>
  <si>
    <t>EQUIPOS DE PROTECCION PERSONAL</t>
  </si>
  <si>
    <t>SEÑALIZACION TEMPORAL DE SEGURIDAD</t>
  </si>
  <si>
    <t>GLB</t>
  </si>
  <si>
    <t>und</t>
  </si>
  <si>
    <t>mes</t>
  </si>
  <si>
    <t>m2</t>
  </si>
  <si>
    <t>m3</t>
  </si>
  <si>
    <t>PAPEL BOND A4 80 GRAMOS</t>
  </si>
  <si>
    <t>TONER PARA IMPRESORA LASER</t>
  </si>
  <si>
    <t xml:space="preserve">PLUMONES GRUESO N° 47 </t>
  </si>
  <si>
    <t>ELABORACION, IMPLEMENTACION Y ADMINISTRACION DEL PLAN DE SEGURIDAD Y SALUD EN EL TRABAJO</t>
  </si>
  <si>
    <t>PLUMONES GRUESO N° 47</t>
  </si>
  <si>
    <t>RECURSOS PARA RESPUESTAS ANTE EMERGENCIAS EN SEGURIDAD Y SALUD EN OBRA</t>
  </si>
  <si>
    <t>MATERIALES PARA CHARLAS EN SEGURIDAD Y SALUD EN EL TRABAJO</t>
  </si>
  <si>
    <t>PROGRAMA DE MITIGACION AMBIENTAL</t>
  </si>
  <si>
    <t>HUMEDECIMIENTO DE TERRENO Y AGREGADOS PARA EVITAR GENERAR POLVO</t>
  </si>
  <si>
    <t>MANEJO DE RESIDUOS SOLIDOS</t>
  </si>
  <si>
    <t>MONITOREO DE CALIDAD DE AIRE</t>
  </si>
  <si>
    <t>MONITOREO DEL AGUA</t>
  </si>
  <si>
    <t>MONITOREO DE RUIDO AMBIENTAL</t>
  </si>
  <si>
    <t>MONITOREO DE CALIDAD DE SUELO</t>
  </si>
  <si>
    <t>ETAPA DE CIERRE DE LA EJECUCION DE OBRA</t>
  </si>
  <si>
    <t>DESMONTAJE DE OBRAS PROVISIONALES</t>
  </si>
  <si>
    <t>MANEJO DE RESIDUOS DE OBRA</t>
  </si>
  <si>
    <t>REPOSICIÓN DE PATIOS DE MANIOBRA</t>
  </si>
  <si>
    <t>LIMPIEZA FINAL</t>
  </si>
  <si>
    <t>mll</t>
  </si>
  <si>
    <t xml:space="preserve">GUANTES DE CUERO </t>
  </si>
  <si>
    <t xml:space="preserve">RESPIRADOR DE PLASTICO SIMPLE </t>
  </si>
  <si>
    <t>CASCO DE PROTECCION</t>
  </si>
  <si>
    <t>ZAPATOS CON PUNTA DE ACERO</t>
  </si>
  <si>
    <t xml:space="preserve">LENTES DE POLICARBONA LUNA CLARA </t>
  </si>
  <si>
    <t xml:space="preserve">BOTAS DE CAUCHO </t>
  </si>
  <si>
    <t>PAR</t>
  </si>
  <si>
    <t>PARANTES DE MADERA MONTAÑA</t>
  </si>
  <si>
    <t>MALLA CERCADORA NARANJA</t>
  </si>
  <si>
    <t>CINTA PLASTICA DE SEÑAL DE SEGURIDAD</t>
  </si>
  <si>
    <t>CINTA NORMALIZADORA DE SEÑALIZACION 70 MM</t>
  </si>
  <si>
    <t>CACHACO DE CONCRETO H=1.20 M</t>
  </si>
  <si>
    <t>rll</t>
  </si>
  <si>
    <t>CAMILLA RIGIDA</t>
  </si>
  <si>
    <t>CINTA MASKINGTAPE SUPER 3/4" X 30 YDS</t>
  </si>
  <si>
    <t>PAPELOGRAFO</t>
  </si>
  <si>
    <t>TONER PARA FOTOCOPIADORA</t>
  </si>
  <si>
    <t>SC DESMONTAJE DE OFICINA</t>
  </si>
  <si>
    <t>SC DESMONTAJE DE ALMACENES</t>
  </si>
  <si>
    <t>SC DESMONTAJE DE CASETA DE GUARDIANIA</t>
  </si>
  <si>
    <t xml:space="preserve">SC DESMONTAJE DE CERCOS PERIMETRICOS </t>
  </si>
  <si>
    <t xml:space="preserve">SC DESMONTAJE DE CARTELES </t>
  </si>
  <si>
    <t>SC ALMACENAMIENTO, RECOLECCION, TRANSPORTE Y DISPOSICION FINAL</t>
  </si>
  <si>
    <t xml:space="preserve">SC REPOSICION DE PATIOS DE MANIOBRA </t>
  </si>
  <si>
    <t>AREA</t>
  </si>
  <si>
    <t>METRADOS MITIGACION AMBIENTAL</t>
  </si>
  <si>
    <t>"CREACION DEL SERVICIO DE AGUA POTABLE RURAL Y CREACION DEL SERVICIO DE ALCANTARILLADO U OTRAS FORMAS DE DISPOSICION SANITARIA DE EXCRETAS EN EL SECTOR NUEVA ESPERANZA DE LA CC.NN. BAJO PITUCUNA DISTRITO DE RIO NEGRO, PROVINCIA DE SATIPO, DEPARTAMENTO DE JUNIN"</t>
  </si>
  <si>
    <t xml:space="preserve">SERVICIO DE ALQUILER DE BAÑOS </t>
  </si>
  <si>
    <t>PLANTULAS</t>
  </si>
  <si>
    <t>UND</t>
  </si>
  <si>
    <t xml:space="preserve">CAPACITACION AMBIENTAL </t>
  </si>
  <si>
    <t>GBL</t>
  </si>
  <si>
    <t>INSTALACIÓN DE CONTENEDORES NO PELIGROSOS PARA FRENTE DE TRABAJO</t>
  </si>
  <si>
    <t>INSTALACIÓN DE CONTENEDORES PELIGROSOS PARA FRENTE DE TRABAJO</t>
  </si>
  <si>
    <t xml:space="preserve">ALQUILER DE BAÑOS </t>
  </si>
  <si>
    <t>PROGRAMA DE SEGUIMIENTO Y CONTROL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</si>
</sst>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0.00_)"/>
    <numFmt numFmtId="167" formatCode="&quot;Qb = &quot;0.00"/>
    <numFmt numFmtId="168" formatCode="_([$€-2]\ * #,##0.00_);_([$€-2]\ * \(#,##0.00\);_([$€-2]\ * &quot;-&quot;??_)"/>
    <numFmt numFmtId="169" formatCode="#.00"/>
    <numFmt numFmtId="170" formatCode="\$#.00"/>
  </numFmts>
  <fonts count="25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Helv"/>
    </font>
    <font>
      <sz val="10"/>
      <name val="Arial"/>
      <family val="2"/>
    </font>
    <font>
      <sz val="9"/>
      <name val="Verdan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Calibri"/>
      <family val="2"/>
      <scheme val="minor"/>
    </font>
    <font>
      <b/>
      <sz val="9"/>
      <name val="Arial Narrow"/>
      <family val="2"/>
    </font>
    <font>
      <sz val="9"/>
      <name val="Arial Narrow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Black"/>
      <family val="2"/>
    </font>
    <font>
      <b/>
      <sz val="11"/>
      <color rgb="FF00206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1"/>
      <color theme="0"/>
      <name val="Arial Black"/>
      <family val="2"/>
    </font>
    <font>
      <b/>
      <sz val="12"/>
      <color theme="0"/>
      <name val="Arial Black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5">
    <xf numFmtId="0" fontId="0" fillId="0" borderId="0">
      <alignment vertical="center"/>
    </xf>
    <xf numFmtId="0" fontId="8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8" fillId="0" borderId="0">
      <protection locked="0"/>
    </xf>
    <xf numFmtId="4" fontId="8" fillId="0" borderId="0">
      <protection locked="0"/>
    </xf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70" fontId="8" fillId="0" borderId="0">
      <protection locked="0"/>
    </xf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166" fontId="5" fillId="0" borderId="0"/>
    <xf numFmtId="0" fontId="7" fillId="0" borderId="0"/>
    <xf numFmtId="0" fontId="10" fillId="0" borderId="0"/>
    <xf numFmtId="0" fontId="7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4" fillId="0" borderId="0">
      <alignment vertical="center"/>
    </xf>
    <xf numFmtId="166" fontId="5" fillId="0" borderId="0"/>
    <xf numFmtId="0" fontId="4" fillId="0" borderId="0"/>
    <xf numFmtId="0" fontId="4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>
      <alignment vertical="top"/>
    </xf>
    <xf numFmtId="164" fontId="2" fillId="0" borderId="0" applyFont="0" applyFill="0" applyBorder="0" applyAlignment="0" applyProtection="0"/>
    <xf numFmtId="0" fontId="1" fillId="0" borderId="0"/>
  </cellStyleXfs>
  <cellXfs count="102">
    <xf numFmtId="0" fontId="0" fillId="0" borderId="0" xfId="0">
      <alignment vertical="center"/>
    </xf>
    <xf numFmtId="2" fontId="12" fillId="0" borderId="1" xfId="55" applyNumberFormat="1" applyFont="1" applyBorder="1" applyAlignment="1">
      <alignment horizontal="center" vertical="center"/>
    </xf>
    <xf numFmtId="0" fontId="12" fillId="0" borderId="1" xfId="55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6" xfId="0" applyFont="1" applyBorder="1">
      <alignment vertical="center"/>
    </xf>
    <xf numFmtId="2" fontId="14" fillId="0" borderId="6" xfId="0" applyNumberFormat="1" applyFont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>
      <alignment vertical="center"/>
    </xf>
    <xf numFmtId="4" fontId="17" fillId="4" borderId="6" xfId="56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2" fillId="0" borderId="0" xfId="0" applyFont="1">
      <alignment vertical="center"/>
    </xf>
    <xf numFmtId="166" fontId="12" fillId="0" borderId="0" xfId="42" applyFont="1"/>
    <xf numFmtId="4" fontId="12" fillId="0" borderId="1" xfId="55" applyNumberFormat="1" applyFont="1" applyBorder="1" applyAlignment="1">
      <alignment horizontal="center" vertical="center" wrapText="1"/>
    </xf>
    <xf numFmtId="4" fontId="11" fillId="0" borderId="1" xfId="55" applyNumberFormat="1" applyFont="1" applyBorder="1" applyAlignment="1">
      <alignment horizontal="center" vertical="center" wrapText="1"/>
    </xf>
    <xf numFmtId="166" fontId="12" fillId="0" borderId="1" xfId="42" applyFont="1" applyBorder="1" applyAlignment="1">
      <alignment horizontal="center" vertical="center"/>
    </xf>
    <xf numFmtId="3" fontId="11" fillId="0" borderId="1" xfId="42" applyNumberFormat="1" applyFont="1" applyBorder="1" applyAlignment="1">
      <alignment horizontal="center" vertical="center"/>
    </xf>
    <xf numFmtId="4" fontId="12" fillId="0" borderId="1" xfId="42" applyNumberFormat="1" applyFont="1" applyBorder="1" applyAlignment="1">
      <alignment horizontal="center" vertical="center" wrapText="1"/>
    </xf>
    <xf numFmtId="4" fontId="11" fillId="0" borderId="1" xfId="42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>
      <alignment vertical="center"/>
    </xf>
    <xf numFmtId="0" fontId="4" fillId="0" borderId="6" xfId="0" applyFont="1" applyBorder="1" applyAlignment="1">
      <alignment horizontal="center" vertical="center"/>
    </xf>
    <xf numFmtId="9" fontId="12" fillId="0" borderId="1" xfId="55" applyNumberFormat="1" applyFont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4" fontId="17" fillId="6" borderId="6" xfId="56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3" fontId="12" fillId="0" borderId="1" xfId="55" applyNumberFormat="1" applyFont="1" applyBorder="1" applyAlignment="1">
      <alignment horizontal="center" vertical="center"/>
    </xf>
    <xf numFmtId="4" fontId="12" fillId="0" borderId="1" xfId="55" applyNumberFormat="1" applyFont="1" applyBorder="1" applyAlignment="1">
      <alignment horizontal="left" vertical="center"/>
    </xf>
    <xf numFmtId="49" fontId="12" fillId="0" borderId="1" xfId="42" applyNumberFormat="1" applyFont="1" applyBorder="1" applyAlignment="1">
      <alignment horizontal="left" vertical="center" wrapText="1"/>
    </xf>
    <xf numFmtId="4" fontId="12" fillId="0" borderId="3" xfId="55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0" xfId="0" applyFont="1">
      <alignment vertical="center"/>
    </xf>
    <xf numFmtId="4" fontId="11" fillId="0" borderId="1" xfId="55" applyNumberFormat="1" applyFont="1" applyBorder="1" applyAlignment="1">
      <alignment horizontal="left" vertical="center"/>
    </xf>
    <xf numFmtId="0" fontId="11" fillId="0" borderId="1" xfId="55" applyFont="1" applyBorder="1" applyAlignment="1">
      <alignment horizontal="center" vertical="center"/>
    </xf>
    <xf numFmtId="3" fontId="11" fillId="0" borderId="1" xfId="55" applyNumberFormat="1" applyFont="1" applyBorder="1" applyAlignment="1">
      <alignment horizontal="center" vertical="center"/>
    </xf>
    <xf numFmtId="4" fontId="11" fillId="0" borderId="3" xfId="55" applyNumberFormat="1" applyFont="1" applyBorder="1" applyAlignment="1">
      <alignment horizontal="left" vertical="center"/>
    </xf>
    <xf numFmtId="2" fontId="11" fillId="0" borderId="1" xfId="55" applyNumberFormat="1" applyFont="1" applyBorder="1" applyAlignment="1">
      <alignment horizontal="center" vertical="center"/>
    </xf>
    <xf numFmtId="2" fontId="12" fillId="0" borderId="1" xfId="42" applyNumberFormat="1" applyFont="1" applyBorder="1" applyAlignment="1">
      <alignment horizontal="center" vertical="center"/>
    </xf>
    <xf numFmtId="2" fontId="12" fillId="0" borderId="1" xfId="55" applyNumberFormat="1" applyFont="1" applyBorder="1" applyAlignment="1">
      <alignment horizontal="center" vertical="center" wrapText="1"/>
    </xf>
    <xf numFmtId="2" fontId="11" fillId="0" borderId="1" xfId="55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0" fontId="19" fillId="0" borderId="1" xfId="55" applyFont="1" applyBorder="1" applyAlignment="1">
      <alignment horizontal="center" vertical="center"/>
    </xf>
    <xf numFmtId="3" fontId="19" fillId="0" borderId="1" xfId="55" applyNumberFormat="1" applyFont="1" applyBorder="1" applyAlignment="1">
      <alignment horizontal="center" vertical="center"/>
    </xf>
    <xf numFmtId="4" fontId="19" fillId="0" borderId="1" xfId="55" applyNumberFormat="1" applyFont="1" applyBorder="1" applyAlignment="1">
      <alignment horizontal="center" vertical="center" wrapText="1"/>
    </xf>
    <xf numFmtId="4" fontId="20" fillId="0" borderId="1" xfId="55" applyNumberFormat="1" applyFont="1" applyBorder="1" applyAlignment="1">
      <alignment horizontal="center" vertical="center" wrapText="1"/>
    </xf>
    <xf numFmtId="4" fontId="18" fillId="3" borderId="1" xfId="55" applyNumberFormat="1" applyFont="1" applyFill="1" applyBorder="1" applyAlignment="1">
      <alignment horizontal="left" vertical="center" wrapText="1"/>
    </xf>
    <xf numFmtId="4" fontId="16" fillId="3" borderId="1" xfId="55" applyNumberFormat="1" applyFont="1" applyFill="1" applyBorder="1" applyAlignment="1">
      <alignment horizontal="left" vertical="center" wrapText="1"/>
    </xf>
    <xf numFmtId="4" fontId="19" fillId="0" borderId="1" xfId="55" applyNumberFormat="1" applyFont="1" applyBorder="1" applyAlignment="1">
      <alignment horizontal="left" vertical="center"/>
    </xf>
    <xf numFmtId="2" fontId="19" fillId="0" borderId="1" xfId="55" applyNumberFormat="1" applyFont="1" applyBorder="1" applyAlignment="1">
      <alignment horizontal="center" vertical="center"/>
    </xf>
    <xf numFmtId="0" fontId="23" fillId="8" borderId="10" xfId="55" applyFont="1" applyFill="1" applyBorder="1" applyAlignment="1">
      <alignment horizontal="center"/>
    </xf>
    <xf numFmtId="0" fontId="23" fillId="8" borderId="10" xfId="55" applyFont="1" applyFill="1" applyBorder="1" applyAlignment="1">
      <alignment horizontal="center" vertical="center"/>
    </xf>
    <xf numFmtId="4" fontId="19" fillId="0" borderId="1" xfId="55" applyNumberFormat="1" applyFont="1" applyBorder="1" applyAlignment="1">
      <alignment horizontal="right" vertical="center"/>
    </xf>
    <xf numFmtId="4" fontId="12" fillId="0" borderId="1" xfId="55" applyNumberFormat="1" applyFont="1" applyBorder="1" applyAlignment="1">
      <alignment horizontal="right" vertical="center"/>
    </xf>
    <xf numFmtId="1" fontId="23" fillId="8" borderId="10" xfId="55" applyNumberFormat="1" applyFont="1" applyFill="1" applyBorder="1" applyAlignment="1">
      <alignment vertical="center"/>
    </xf>
    <xf numFmtId="0" fontId="18" fillId="3" borderId="1" xfId="55" applyFont="1" applyFill="1" applyBorder="1" applyAlignment="1">
      <alignment vertical="center"/>
    </xf>
    <xf numFmtId="0" fontId="11" fillId="0" borderId="1" xfId="42" applyNumberFormat="1" applyFont="1" applyBorder="1" applyAlignment="1">
      <alignment vertical="center"/>
    </xf>
    <xf numFmtId="0" fontId="12" fillId="0" borderId="1" xfId="42" applyNumberFormat="1" applyFont="1" applyBorder="1" applyAlignment="1">
      <alignment vertical="center"/>
    </xf>
    <xf numFmtId="0" fontId="19" fillId="0" borderId="1" xfId="42" applyNumberFormat="1" applyFont="1" applyBorder="1" applyAlignment="1">
      <alignment vertical="center"/>
    </xf>
    <xf numFmtId="0" fontId="11" fillId="0" borderId="14" xfId="42" applyNumberFormat="1" applyFont="1" applyBorder="1" applyAlignment="1">
      <alignment vertical="center" wrapText="1"/>
    </xf>
    <xf numFmtId="0" fontId="11" fillId="0" borderId="3" xfId="55" applyFont="1" applyBorder="1" applyAlignment="1">
      <alignment vertical="center"/>
    </xf>
    <xf numFmtId="0" fontId="11" fillId="0" borderId="0" xfId="42" applyNumberFormat="1" applyFont="1" applyAlignment="1">
      <alignment horizontal="center"/>
    </xf>
    <xf numFmtId="0" fontId="12" fillId="0" borderId="0" xfId="42" applyNumberFormat="1" applyFont="1" applyAlignment="1">
      <alignment horizontal="center" vertical="center"/>
    </xf>
    <xf numFmtId="1" fontId="11" fillId="0" borderId="0" xfId="42" applyNumberFormat="1" applyFont="1" applyAlignment="1">
      <alignment horizontal="center"/>
    </xf>
    <xf numFmtId="0" fontId="11" fillId="0" borderId="14" xfId="42" applyNumberFormat="1" applyFont="1" applyBorder="1" applyAlignment="1">
      <alignment horizontal="center"/>
    </xf>
    <xf numFmtId="0" fontId="12" fillId="0" borderId="4" xfId="42" applyNumberFormat="1" applyFont="1" applyBorder="1" applyAlignment="1">
      <alignment vertical="center"/>
    </xf>
    <xf numFmtId="4" fontId="12" fillId="0" borderId="4" xfId="55" applyNumberFormat="1" applyFont="1" applyBorder="1" applyAlignment="1">
      <alignment horizontal="left" vertical="center"/>
    </xf>
    <xf numFmtId="0" fontId="12" fillId="0" borderId="4" xfId="55" applyFont="1" applyBorder="1" applyAlignment="1">
      <alignment horizontal="center" vertical="center"/>
    </xf>
    <xf numFmtId="2" fontId="12" fillId="0" borderId="4" xfId="55" applyNumberFormat="1" applyFont="1" applyBorder="1" applyAlignment="1">
      <alignment horizontal="center" vertical="center"/>
    </xf>
    <xf numFmtId="4" fontId="12" fillId="0" borderId="4" xfId="55" applyNumberFormat="1" applyFont="1" applyBorder="1" applyAlignment="1">
      <alignment horizontal="center" vertical="center" wrapText="1"/>
    </xf>
    <xf numFmtId="2" fontId="12" fillId="0" borderId="4" xfId="55" applyNumberFormat="1" applyFont="1" applyBorder="1" applyAlignment="1">
      <alignment horizontal="center" vertical="center" wrapText="1"/>
    </xf>
    <xf numFmtId="4" fontId="11" fillId="0" borderId="4" xfId="55" applyNumberFormat="1" applyFont="1" applyBorder="1" applyAlignment="1">
      <alignment horizontal="center" vertical="center" wrapText="1"/>
    </xf>
    <xf numFmtId="0" fontId="21" fillId="7" borderId="12" xfId="55" applyFont="1" applyFill="1" applyBorder="1" applyAlignment="1">
      <alignment horizontal="center" vertical="center" wrapText="1"/>
    </xf>
    <xf numFmtId="0" fontId="21" fillId="7" borderId="11" xfId="55" applyFont="1" applyFill="1" applyBorder="1" applyAlignment="1">
      <alignment horizontal="center" vertical="center" wrapText="1"/>
    </xf>
    <xf numFmtId="0" fontId="21" fillId="7" borderId="13" xfId="55" applyFont="1" applyFill="1" applyBorder="1" applyAlignment="1">
      <alignment horizontal="center" vertical="center" wrapText="1"/>
    </xf>
    <xf numFmtId="0" fontId="22" fillId="8" borderId="15" xfId="55" applyFont="1" applyFill="1" applyBorder="1" applyAlignment="1">
      <alignment horizontal="center" vertical="center" wrapText="1"/>
    </xf>
    <xf numFmtId="0" fontId="22" fillId="8" borderId="2" xfId="55" applyFont="1" applyFill="1" applyBorder="1" applyAlignment="1">
      <alignment horizontal="center" vertical="center" wrapText="1"/>
    </xf>
    <xf numFmtId="0" fontId="22" fillId="8" borderId="16" xfId="55" applyFont="1" applyFill="1" applyBorder="1" applyAlignment="1">
      <alignment horizontal="center" vertical="center" wrapText="1"/>
    </xf>
    <xf numFmtId="0" fontId="24" fillId="0" borderId="3" xfId="42" quotePrefix="1" applyNumberFormat="1" applyFont="1" applyBorder="1" applyAlignment="1">
      <alignment horizontal="center" vertical="center" wrapText="1"/>
    </xf>
    <xf numFmtId="0" fontId="24" fillId="0" borderId="0" xfId="42" quotePrefix="1" applyNumberFormat="1" applyFont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65">
    <cellStyle name="Dia" xfId="1" xr:uid="{00000000-0005-0000-0000-000000000000}"/>
    <cellStyle name="Encabez1" xfId="2" xr:uid="{00000000-0005-0000-0000-000001000000}"/>
    <cellStyle name="Encabez2" xfId="3" xr:uid="{00000000-0005-0000-0000-000002000000}"/>
    <cellStyle name="Euro" xfId="4" xr:uid="{00000000-0005-0000-0000-000003000000}"/>
    <cellStyle name="Euro 10" xfId="5" xr:uid="{00000000-0005-0000-0000-000004000000}"/>
    <cellStyle name="Euro 11" xfId="6" xr:uid="{00000000-0005-0000-0000-000005000000}"/>
    <cellStyle name="Euro 12" xfId="7" xr:uid="{00000000-0005-0000-0000-000006000000}"/>
    <cellStyle name="Euro 13" xfId="8" xr:uid="{00000000-0005-0000-0000-000007000000}"/>
    <cellStyle name="Euro 14" xfId="9" xr:uid="{00000000-0005-0000-0000-000008000000}"/>
    <cellStyle name="Euro 15" xfId="10" xr:uid="{00000000-0005-0000-0000-000009000000}"/>
    <cellStyle name="Euro 2" xfId="11" xr:uid="{00000000-0005-0000-0000-00000A000000}"/>
    <cellStyle name="Euro 3" xfId="12" xr:uid="{00000000-0005-0000-0000-00000B000000}"/>
    <cellStyle name="Euro 4" xfId="13" xr:uid="{00000000-0005-0000-0000-00000C000000}"/>
    <cellStyle name="Euro 5" xfId="14" xr:uid="{00000000-0005-0000-0000-00000D000000}"/>
    <cellStyle name="Euro 6" xfId="15" xr:uid="{00000000-0005-0000-0000-00000E000000}"/>
    <cellStyle name="Euro 7" xfId="16" xr:uid="{00000000-0005-0000-0000-00000F000000}"/>
    <cellStyle name="Euro 8" xfId="17" xr:uid="{00000000-0005-0000-0000-000010000000}"/>
    <cellStyle name="Euro 9" xfId="18" xr:uid="{00000000-0005-0000-0000-000011000000}"/>
    <cellStyle name="Fijo" xfId="19" xr:uid="{00000000-0005-0000-0000-000012000000}"/>
    <cellStyle name="Financiero" xfId="20" xr:uid="{00000000-0005-0000-0000-000013000000}"/>
    <cellStyle name="Millares [0] 2" xfId="21" xr:uid="{00000000-0005-0000-0000-000014000000}"/>
    <cellStyle name="Millares 2" xfId="22" xr:uid="{00000000-0005-0000-0000-000015000000}"/>
    <cellStyle name="Millares 2 2" xfId="23" xr:uid="{00000000-0005-0000-0000-000016000000}"/>
    <cellStyle name="Millares 2 3" xfId="24" xr:uid="{00000000-0005-0000-0000-000017000000}"/>
    <cellStyle name="Millares 2 4" xfId="25" xr:uid="{00000000-0005-0000-0000-000018000000}"/>
    <cellStyle name="Millares 2 5" xfId="26" xr:uid="{00000000-0005-0000-0000-000019000000}"/>
    <cellStyle name="Millares 2 6" xfId="27" xr:uid="{00000000-0005-0000-0000-00001A000000}"/>
    <cellStyle name="Millares 2 7" xfId="28" xr:uid="{00000000-0005-0000-0000-00001B000000}"/>
    <cellStyle name="Millares 2 8" xfId="29" xr:uid="{00000000-0005-0000-0000-00001C000000}"/>
    <cellStyle name="Millares 2 9" xfId="30" xr:uid="{00000000-0005-0000-0000-00001D000000}"/>
    <cellStyle name="Millares 2_Metrado" xfId="31" xr:uid="{00000000-0005-0000-0000-00001E000000}"/>
    <cellStyle name="Millares 3" xfId="32" xr:uid="{00000000-0005-0000-0000-00001F000000}"/>
    <cellStyle name="Millares 4" xfId="33" xr:uid="{00000000-0005-0000-0000-000020000000}"/>
    <cellStyle name="Millares 5" xfId="63" xr:uid="{00000000-0005-0000-0000-000021000000}"/>
    <cellStyle name="Monetario" xfId="34" xr:uid="{00000000-0005-0000-0000-000022000000}"/>
    <cellStyle name="Normal" xfId="0" builtinId="0"/>
    <cellStyle name="Normal 10" xfId="35" xr:uid="{00000000-0005-0000-0000-000024000000}"/>
    <cellStyle name="Normal 10 2" xfId="36" xr:uid="{00000000-0005-0000-0000-000025000000}"/>
    <cellStyle name="Normal 10 3" xfId="59" xr:uid="{00000000-0005-0000-0000-000026000000}"/>
    <cellStyle name="Normal 11" xfId="56" xr:uid="{00000000-0005-0000-0000-000027000000}"/>
    <cellStyle name="Normal 11 2" xfId="64" xr:uid="{00000000-0005-0000-0000-000028000000}"/>
    <cellStyle name="Normal 12" xfId="58" xr:uid="{00000000-0005-0000-0000-000029000000}"/>
    <cellStyle name="Normal 19" xfId="57" xr:uid="{00000000-0005-0000-0000-00002A000000}"/>
    <cellStyle name="Normal 2" xfId="37" xr:uid="{00000000-0005-0000-0000-00002B000000}"/>
    <cellStyle name="Normal 2 2" xfId="38" xr:uid="{00000000-0005-0000-0000-00002C000000}"/>
    <cellStyle name="Normal 2 2 2" xfId="39" xr:uid="{00000000-0005-0000-0000-00002D000000}"/>
    <cellStyle name="Normal 2 2 2 2" xfId="40" xr:uid="{00000000-0005-0000-0000-00002E000000}"/>
    <cellStyle name="Normal 2 2 2 3" xfId="41" xr:uid="{00000000-0005-0000-0000-00002F000000}"/>
    <cellStyle name="Normal 2 2 2 4" xfId="61" xr:uid="{00000000-0005-0000-0000-000030000000}"/>
    <cellStyle name="Normal 2 2 3" xfId="60" xr:uid="{00000000-0005-0000-0000-000031000000}"/>
    <cellStyle name="Normal 2 3" xfId="42" xr:uid="{00000000-0005-0000-0000-000032000000}"/>
    <cellStyle name="Normal 2 4" xfId="43" xr:uid="{00000000-0005-0000-0000-000033000000}"/>
    <cellStyle name="Normal 2 5" xfId="44" xr:uid="{00000000-0005-0000-0000-000034000000}"/>
    <cellStyle name="Normal 2_Metrado" xfId="45" xr:uid="{00000000-0005-0000-0000-000035000000}"/>
    <cellStyle name="Normal 3" xfId="46" xr:uid="{00000000-0005-0000-0000-000036000000}"/>
    <cellStyle name="Normal 4" xfId="47" xr:uid="{00000000-0005-0000-0000-000037000000}"/>
    <cellStyle name="Normal 5" xfId="48" xr:uid="{00000000-0005-0000-0000-000038000000}"/>
    <cellStyle name="Normal 5 2" xfId="49" xr:uid="{00000000-0005-0000-0000-000039000000}"/>
    <cellStyle name="Normal 5 3" xfId="62" xr:uid="{00000000-0005-0000-0000-00003A000000}"/>
    <cellStyle name="Normal 6" xfId="50" xr:uid="{00000000-0005-0000-0000-00003B000000}"/>
    <cellStyle name="Normal 7" xfId="51" xr:uid="{00000000-0005-0000-0000-00003C000000}"/>
    <cellStyle name="Normal 7 2" xfId="52" xr:uid="{00000000-0005-0000-0000-00003D000000}"/>
    <cellStyle name="Normal 8" xfId="53" xr:uid="{00000000-0005-0000-0000-00003E000000}"/>
    <cellStyle name="Normal 9" xfId="54" xr:uid="{00000000-0005-0000-0000-00003F000000}"/>
    <cellStyle name="Normal_Hoja1 2" xfId="55" xr:uid="{00000000-0005-0000-0000-000040000000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2" defaultTableStyle="TableStyleMedium9" defaultPivotStyle="PivotStyleLight16">
    <tableStyle name="Estilo de tabla 1" pivot="0" count="0" xr9:uid="{00000000-0011-0000-FFFF-FFFF00000000}"/>
    <tableStyle name="Estilo de tabla dinámica 1" table="0" count="0" xr9:uid="{00000000-0011-0000-FFFF-FFFF01000000}"/>
  </tableStyles>
  <colors>
    <mruColors>
      <color rgb="FF0000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rpeta%20Publica\BGARCIA\APMIGUELPAMPA\METRADOS%20GENERALES%20-%20MIGUELPAM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ello\c\NELLY\nelly\lambayeque\000%20CN%20San%20Jos&#233;%20-%20Exp%20Tec%20Reform%20metrado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UDER/FONCODES/FONCODES%20TRUJILLO/TRUJILLO%202009/INFORMACION%20AYUDA%20LA%20ACHIRA/PIURA/Metrados%20genera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UDER/GRA%20PROYECTISTA/BALCON/METRADO%20ESTRUCTURAS%20AGUA%20POTABLE-orig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shiba\Desktop\ffffff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Resumen-Elegibilidad"/>
      <sheetName val="Cuadro Nº01-Pto.Obra"/>
      <sheetName val="Cuadro Nº06-C.U."/>
      <sheetName val="Cuadro Nº07-Insumos"/>
      <sheetName val="Cuadro Nº02-Usos y Fuent.Proy."/>
      <sheetName val="Cuadro Nº03-Desagregado C.D."/>
      <sheetName val="Cuadro Nº04-Desagregado C.Ind."/>
      <sheetName val="Cuadro Nº05-Plan. Sust. Metr."/>
      <sheetName val="Cuadro Nº08-Insum adqui.Aporte"/>
      <sheetName val="Cuadro de Cálculo"/>
      <sheetName val="Cálculo-MONC"/>
      <sheetName val="Cálculo-Mater, equipos y herr."/>
      <sheetName val="Cronog. Nº01-Avance de Ejec. "/>
      <sheetName val="Cronog.Nº02-Desemb. mens. Obra"/>
      <sheetName val="Cronog Nº03 Materia equ. herr."/>
      <sheetName val="Cronog. Nº04-Valor. Rec. Benef."/>
      <sheetName val="Gráfico1"/>
      <sheetName val="Cronog. Nº5 -Desemb aporte Pr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- Redes"/>
      <sheetName val="Combinacion tuberias"/>
      <sheetName val="C-1A"/>
      <sheetName val="C-2A"/>
      <sheetName val="C-2B"/>
      <sheetName val="Cap-Gal"/>
      <sheetName val="Capt-Quebrada"/>
      <sheetName val="Bz-Reunion"/>
      <sheetName val="CRP6"/>
      <sheetName val="CRP7"/>
      <sheetName val="PASES AEREOS"/>
      <sheetName val="DISEÑO RESERV"/>
      <sheetName val="Reser_Caset"/>
      <sheetName val="Válv  Purga"/>
      <sheetName val="Válv Control"/>
      <sheetName val="Válv Aire"/>
      <sheetName val="pileta"/>
      <sheetName val="Tapas metali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C6">
            <v>3.35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orios"/>
      <sheetName val="C-2A"/>
      <sheetName val="C-1A"/>
      <sheetName val="C-2B"/>
      <sheetName val="Cap-gal"/>
      <sheetName val="Cap-quebrada"/>
      <sheetName val="BZ-reunion"/>
      <sheetName val="CRP6"/>
      <sheetName val="CRP7"/>
      <sheetName val="VP-01"/>
      <sheetName val="VP-02"/>
      <sheetName val="VC-01"/>
      <sheetName val="VA-01"/>
      <sheetName val="pileta"/>
    </sheetNames>
    <sheetDataSet>
      <sheetData sheetId="0">
        <row r="151">
          <cell r="D15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2">
          <cell r="AA22">
            <v>50682.177900000002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2" displayName="Tabla32" ref="A5:I72" totalsRowShown="0" headerRowDxfId="12" dataDxfId="10" headerRowBorderDxfId="11" tableBorderDxfId="9" headerRowCellStyle="Normal_Hoja1 2" dataCellStyle="Normal_Hoja1 2">
  <tableColumns count="9">
    <tableColumn id="1" xr3:uid="{00000000-0010-0000-0000-000001000000}" name="PARTIDA" dataDxfId="8" dataCellStyle="Normal 2 3"/>
    <tableColumn id="2" xr3:uid="{00000000-0010-0000-0000-000002000000}" name="DESCRIPCION" dataDxfId="7" dataCellStyle="Normal_Hoja1 2"/>
    <tableColumn id="3" xr3:uid="{00000000-0010-0000-0000-000003000000}" name="UNID." dataDxfId="6" dataCellStyle="Normal_Hoja1 2"/>
    <tableColumn id="4" xr3:uid="{00000000-0010-0000-0000-000004000000}" name="VECES" dataDxfId="5" dataCellStyle="Normal_Hoja1 2"/>
    <tableColumn id="5" xr3:uid="{00000000-0010-0000-0000-000005000000}" name="LONG." dataDxfId="4" dataCellStyle="Normal_Hoja1 2"/>
    <tableColumn id="6" xr3:uid="{00000000-0010-0000-0000-000006000000}" name="ANCHO" dataDxfId="3" dataCellStyle="Normal_Hoja1 2"/>
    <tableColumn id="7" xr3:uid="{00000000-0010-0000-0000-000007000000}" name="ALTURA" dataDxfId="2" dataCellStyle="Normal_Hoja1 2"/>
    <tableColumn id="8" xr3:uid="{00000000-0010-0000-0000-000008000000}" name="SUB-TOTAL" dataDxfId="1" dataCellStyle="Normal_Hoja1 2"/>
    <tableColumn id="9" xr3:uid="{00000000-0010-0000-0000-000009000000}" name="TOTAL" dataDxfId="0" dataCellStyle="Normal_Hoja1 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72"/>
  <sheetViews>
    <sheetView showGridLines="0" tabSelected="1" view="pageBreakPreview" topLeftCell="A46" zoomScale="70" zoomScaleNormal="85" zoomScaleSheetLayoutView="70" zoomScalePageLayoutView="55" workbookViewId="0">
      <selection activeCell="B38" sqref="B38"/>
    </sheetView>
  </sheetViews>
  <sheetFormatPr baseColWidth="10" defaultColWidth="12" defaultRowHeight="15" customHeight="1" x14ac:dyDescent="0.2"/>
  <cols>
    <col min="1" max="1" width="17.83203125" style="20" customWidth="1"/>
    <col min="2" max="2" width="96.6640625" style="20" customWidth="1"/>
    <col min="3" max="3" width="8.1640625" style="29" customWidth="1"/>
    <col min="4" max="4" width="12" style="30" customWidth="1"/>
    <col min="5" max="6" width="9.83203125" style="20" customWidth="1"/>
    <col min="7" max="7" width="10.5" style="20" customWidth="1"/>
    <col min="8" max="8" width="13.5" style="20" customWidth="1"/>
    <col min="9" max="9" width="11.6640625" style="20" customWidth="1"/>
    <col min="10" max="10" width="9.1640625" style="20" bestFit="1" customWidth="1"/>
    <col min="11" max="11" width="12.5" style="20" bestFit="1" customWidth="1"/>
    <col min="12" max="13" width="6.5" style="20" customWidth="1"/>
    <col min="14" max="14" width="22.1640625" style="20" bestFit="1" customWidth="1"/>
    <col min="15" max="17" width="13" style="20" customWidth="1"/>
    <col min="18" max="20" width="6.5" style="20" customWidth="1"/>
    <col min="21" max="23" width="11.33203125" style="20" customWidth="1"/>
    <col min="24" max="16384" width="12" style="20"/>
  </cols>
  <sheetData>
    <row r="1" spans="1:20" ht="15" customHeight="1" x14ac:dyDescent="0.2">
      <c r="A1" s="81" t="s">
        <v>96</v>
      </c>
      <c r="B1" s="82"/>
      <c r="C1" s="82"/>
      <c r="D1" s="82"/>
      <c r="E1" s="82"/>
      <c r="F1" s="82"/>
      <c r="G1" s="82"/>
      <c r="H1" s="82"/>
      <c r="I1" s="83"/>
    </row>
    <row r="2" spans="1:20" ht="34.5" customHeight="1" x14ac:dyDescent="0.2">
      <c r="A2" s="87" t="s">
        <v>97</v>
      </c>
      <c r="B2" s="88"/>
      <c r="C2" s="88"/>
      <c r="D2" s="88"/>
      <c r="E2" s="88"/>
      <c r="F2" s="88"/>
      <c r="G2" s="88"/>
      <c r="H2" s="88"/>
      <c r="I2" s="68"/>
    </row>
    <row r="3" spans="1:20" ht="19.5" customHeight="1" thickBot="1" x14ac:dyDescent="0.3">
      <c r="A3" s="84" t="s">
        <v>42</v>
      </c>
      <c r="B3" s="85"/>
      <c r="C3" s="85"/>
      <c r="D3" s="85"/>
      <c r="E3" s="85"/>
      <c r="F3" s="85"/>
      <c r="G3" s="85"/>
      <c r="H3" s="85"/>
      <c r="I3" s="86"/>
      <c r="Q3" s="21"/>
      <c r="R3" s="21"/>
      <c r="S3" s="21"/>
      <c r="T3" s="21"/>
    </row>
    <row r="4" spans="1:20" ht="15" customHeight="1" x14ac:dyDescent="0.25">
      <c r="A4" s="69"/>
      <c r="B4" s="70"/>
      <c r="C4" s="71"/>
      <c r="D4" s="72"/>
      <c r="E4" s="70"/>
      <c r="F4" s="70"/>
      <c r="G4" s="70"/>
      <c r="H4" s="70"/>
      <c r="I4" s="73"/>
    </row>
    <row r="5" spans="1:20" ht="15" customHeight="1" thickBot="1" x14ac:dyDescent="0.25">
      <c r="A5" s="63" t="s">
        <v>1</v>
      </c>
      <c r="B5" s="59" t="s">
        <v>2</v>
      </c>
      <c r="C5" s="60" t="s">
        <v>9</v>
      </c>
      <c r="D5" s="60" t="s">
        <v>3</v>
      </c>
      <c r="E5" s="60" t="s">
        <v>4</v>
      </c>
      <c r="F5" s="60" t="s">
        <v>5</v>
      </c>
      <c r="G5" s="60" t="s">
        <v>6</v>
      </c>
      <c r="H5" s="60" t="s">
        <v>7</v>
      </c>
      <c r="I5" s="60" t="s">
        <v>8</v>
      </c>
    </row>
    <row r="6" spans="1:20" ht="15" customHeight="1" thickTop="1" x14ac:dyDescent="0.2">
      <c r="A6" s="64" t="str">
        <f>+"03"</f>
        <v>03</v>
      </c>
      <c r="B6" s="55" t="s">
        <v>43</v>
      </c>
      <c r="C6" s="24"/>
      <c r="D6" s="25"/>
      <c r="E6" s="26"/>
      <c r="F6" s="26"/>
      <c r="G6" s="26"/>
      <c r="H6" s="26"/>
      <c r="I6" s="27"/>
    </row>
    <row r="7" spans="1:20" ht="15" customHeight="1" x14ac:dyDescent="0.2">
      <c r="A7" s="65" t="str">
        <f>A6 &amp; ".01"</f>
        <v>03.01</v>
      </c>
      <c r="B7" s="56" t="s">
        <v>37</v>
      </c>
      <c r="C7" s="24"/>
      <c r="D7" s="25"/>
      <c r="E7" s="26"/>
      <c r="F7" s="26"/>
      <c r="G7" s="26"/>
      <c r="H7" s="26"/>
      <c r="I7" s="27"/>
    </row>
    <row r="8" spans="1:20" ht="26.25" customHeight="1" x14ac:dyDescent="0.2">
      <c r="A8" s="66" t="str">
        <f>A7 &amp; ".01"</f>
        <v>03.01.01</v>
      </c>
      <c r="B8" s="38" t="s">
        <v>54</v>
      </c>
      <c r="C8" s="24" t="s">
        <v>46</v>
      </c>
      <c r="D8" s="25"/>
      <c r="E8" s="26"/>
      <c r="F8" s="26"/>
      <c r="G8" s="26"/>
      <c r="H8" s="26">
        <v>1</v>
      </c>
      <c r="I8" s="27">
        <f>+H8</f>
        <v>1</v>
      </c>
    </row>
    <row r="9" spans="1:20" ht="16.5" customHeight="1" x14ac:dyDescent="0.2">
      <c r="A9" s="67"/>
      <c r="B9" s="61" t="s">
        <v>51</v>
      </c>
      <c r="C9" s="51" t="s">
        <v>70</v>
      </c>
      <c r="D9" s="58">
        <v>3</v>
      </c>
      <c r="E9" s="53"/>
      <c r="F9" s="53"/>
      <c r="G9" s="53"/>
      <c r="H9" s="53"/>
      <c r="I9" s="54"/>
    </row>
    <row r="10" spans="1:20" ht="16.5" customHeight="1" x14ac:dyDescent="0.2">
      <c r="A10" s="67"/>
      <c r="B10" s="61" t="s">
        <v>52</v>
      </c>
      <c r="C10" s="51" t="s">
        <v>47</v>
      </c>
      <c r="D10" s="58">
        <v>1</v>
      </c>
      <c r="E10" s="53"/>
      <c r="F10" s="53"/>
      <c r="G10" s="53"/>
      <c r="H10" s="53"/>
      <c r="I10" s="54"/>
    </row>
    <row r="11" spans="1:20" ht="16.5" customHeight="1" x14ac:dyDescent="0.2">
      <c r="A11" s="67"/>
      <c r="B11" s="61" t="s">
        <v>55</v>
      </c>
      <c r="C11" s="51" t="s">
        <v>47</v>
      </c>
      <c r="D11" s="58">
        <v>6</v>
      </c>
      <c r="E11" s="53"/>
      <c r="F11" s="53"/>
      <c r="G11" s="53"/>
      <c r="H11" s="53"/>
      <c r="I11" s="54"/>
    </row>
    <row r="12" spans="1:20" ht="16.5" customHeight="1" x14ac:dyDescent="0.2">
      <c r="A12" s="67"/>
      <c r="B12" s="57"/>
      <c r="C12" s="51"/>
      <c r="D12" s="52"/>
      <c r="E12" s="53"/>
      <c r="F12" s="53"/>
      <c r="G12" s="53"/>
      <c r="H12" s="53"/>
      <c r="I12" s="54"/>
    </row>
    <row r="13" spans="1:20" ht="15" customHeight="1" x14ac:dyDescent="0.2">
      <c r="A13" s="66" t="str">
        <f>A7 &amp; ".02"</f>
        <v>03.01.02</v>
      </c>
      <c r="B13" s="38" t="s">
        <v>44</v>
      </c>
      <c r="C13" s="24" t="s">
        <v>46</v>
      </c>
      <c r="D13" s="25"/>
      <c r="E13" s="26"/>
      <c r="F13" s="26"/>
      <c r="G13" s="26"/>
      <c r="H13" s="26">
        <v>1</v>
      </c>
      <c r="I13" s="27">
        <f>+H13</f>
        <v>1</v>
      </c>
    </row>
    <row r="14" spans="1:20" ht="15" customHeight="1" x14ac:dyDescent="0.2">
      <c r="A14" s="67"/>
      <c r="B14" s="61" t="s">
        <v>71</v>
      </c>
      <c r="C14" s="51" t="s">
        <v>77</v>
      </c>
      <c r="D14" s="53">
        <v>24</v>
      </c>
      <c r="E14" s="53"/>
      <c r="F14" s="53"/>
      <c r="G14" s="53"/>
      <c r="H14" s="53"/>
      <c r="I14" s="54"/>
    </row>
    <row r="15" spans="1:20" ht="15" customHeight="1" x14ac:dyDescent="0.2">
      <c r="A15" s="67"/>
      <c r="B15" s="61" t="s">
        <v>72</v>
      </c>
      <c r="C15" s="51" t="s">
        <v>47</v>
      </c>
      <c r="D15" s="53">
        <v>12</v>
      </c>
      <c r="E15" s="53"/>
      <c r="F15" s="53"/>
      <c r="G15" s="53"/>
      <c r="H15" s="53"/>
      <c r="I15" s="54"/>
    </row>
    <row r="16" spans="1:20" ht="15" customHeight="1" x14ac:dyDescent="0.2">
      <c r="A16" s="67"/>
      <c r="B16" s="61" t="s">
        <v>73</v>
      </c>
      <c r="C16" s="51" t="s">
        <v>47</v>
      </c>
      <c r="D16" s="53">
        <v>12</v>
      </c>
      <c r="E16" s="53"/>
      <c r="F16" s="53"/>
      <c r="G16" s="53"/>
      <c r="H16" s="53"/>
      <c r="I16" s="54"/>
    </row>
    <row r="17" spans="1:9" ht="15" customHeight="1" x14ac:dyDescent="0.2">
      <c r="A17" s="67"/>
      <c r="B17" s="61" t="s">
        <v>74</v>
      </c>
      <c r="C17" s="51" t="s">
        <v>47</v>
      </c>
      <c r="D17" s="53">
        <v>12</v>
      </c>
      <c r="E17" s="53"/>
      <c r="F17" s="53"/>
      <c r="G17" s="53"/>
      <c r="H17" s="53"/>
      <c r="I17" s="54"/>
    </row>
    <row r="18" spans="1:9" ht="15" customHeight="1" x14ac:dyDescent="0.2">
      <c r="A18" s="67"/>
      <c r="B18" s="61" t="s">
        <v>75</v>
      </c>
      <c r="C18" s="51" t="s">
        <v>47</v>
      </c>
      <c r="D18" s="53">
        <v>12</v>
      </c>
      <c r="E18" s="53"/>
      <c r="F18" s="53"/>
      <c r="G18" s="53"/>
      <c r="H18" s="53"/>
      <c r="I18" s="54"/>
    </row>
    <row r="19" spans="1:9" ht="15" customHeight="1" x14ac:dyDescent="0.2">
      <c r="A19" s="67"/>
      <c r="B19" s="61" t="s">
        <v>76</v>
      </c>
      <c r="C19" s="51" t="s">
        <v>77</v>
      </c>
      <c r="D19" s="53">
        <v>12</v>
      </c>
      <c r="E19" s="53"/>
      <c r="F19" s="53"/>
      <c r="G19" s="53"/>
      <c r="H19" s="53"/>
      <c r="I19" s="54"/>
    </row>
    <row r="20" spans="1:9" ht="15" customHeight="1" x14ac:dyDescent="0.2">
      <c r="A20" s="67"/>
      <c r="B20" s="57"/>
      <c r="C20" s="51"/>
      <c r="D20" s="52"/>
      <c r="E20" s="53"/>
      <c r="F20" s="53"/>
      <c r="G20" s="53"/>
      <c r="H20" s="53"/>
      <c r="I20" s="54"/>
    </row>
    <row r="21" spans="1:9" ht="15" customHeight="1" x14ac:dyDescent="0.2">
      <c r="A21" s="66" t="str">
        <f>A7 &amp; ".03"</f>
        <v>03.01.03</v>
      </c>
      <c r="B21" s="38" t="s">
        <v>45</v>
      </c>
      <c r="C21" s="24" t="s">
        <v>46</v>
      </c>
      <c r="D21" s="25"/>
      <c r="E21" s="26"/>
      <c r="F21" s="26"/>
      <c r="G21" s="26"/>
      <c r="H21" s="26">
        <v>1</v>
      </c>
      <c r="I21" s="27">
        <f>+H21</f>
        <v>1</v>
      </c>
    </row>
    <row r="22" spans="1:9" ht="15" customHeight="1" x14ac:dyDescent="0.2">
      <c r="A22" s="67"/>
      <c r="B22" s="61" t="s">
        <v>78</v>
      </c>
      <c r="C22" s="51" t="s">
        <v>47</v>
      </c>
      <c r="D22" s="58">
        <v>8</v>
      </c>
      <c r="E22" s="53"/>
      <c r="F22" s="53"/>
      <c r="G22" s="53"/>
      <c r="H22" s="53"/>
      <c r="I22" s="54"/>
    </row>
    <row r="23" spans="1:9" ht="15" customHeight="1" x14ac:dyDescent="0.2">
      <c r="A23" s="67"/>
      <c r="B23" s="61" t="s">
        <v>79</v>
      </c>
      <c r="C23" s="51" t="s">
        <v>83</v>
      </c>
      <c r="D23" s="58">
        <v>5</v>
      </c>
      <c r="E23" s="53"/>
      <c r="F23" s="53"/>
      <c r="G23" s="53"/>
      <c r="H23" s="53"/>
      <c r="I23" s="54"/>
    </row>
    <row r="24" spans="1:9" ht="15" customHeight="1" x14ac:dyDescent="0.2">
      <c r="A24" s="67"/>
      <c r="B24" s="61" t="s">
        <v>80</v>
      </c>
      <c r="C24" s="51" t="s">
        <v>83</v>
      </c>
      <c r="D24" s="58">
        <v>5</v>
      </c>
      <c r="E24" s="53"/>
      <c r="F24" s="53"/>
      <c r="G24" s="53"/>
      <c r="H24" s="53"/>
      <c r="I24" s="54"/>
    </row>
    <row r="25" spans="1:9" ht="15" customHeight="1" x14ac:dyDescent="0.2">
      <c r="A25" s="67"/>
      <c r="B25" s="61" t="s">
        <v>81</v>
      </c>
      <c r="C25" s="51" t="s">
        <v>0</v>
      </c>
      <c r="D25" s="58">
        <v>1000</v>
      </c>
      <c r="E25" s="53"/>
      <c r="F25" s="53"/>
      <c r="G25" s="53"/>
      <c r="H25" s="53"/>
      <c r="I25" s="54"/>
    </row>
    <row r="26" spans="1:9" ht="15" customHeight="1" x14ac:dyDescent="0.2">
      <c r="A26" s="67"/>
      <c r="B26" s="61" t="s">
        <v>82</v>
      </c>
      <c r="C26" s="51" t="s">
        <v>47</v>
      </c>
      <c r="D26" s="58">
        <v>30</v>
      </c>
      <c r="E26" s="53"/>
      <c r="F26" s="53"/>
      <c r="G26" s="53"/>
      <c r="H26" s="53"/>
      <c r="I26" s="54"/>
    </row>
    <row r="27" spans="1:9" ht="15" customHeight="1" x14ac:dyDescent="0.2">
      <c r="A27" s="67"/>
      <c r="B27" s="57"/>
      <c r="C27" s="51"/>
      <c r="D27" s="52"/>
      <c r="E27" s="53"/>
      <c r="F27" s="53"/>
      <c r="G27" s="53"/>
      <c r="H27" s="53"/>
      <c r="I27" s="54"/>
    </row>
    <row r="28" spans="1:9" ht="30.6" customHeight="1" x14ac:dyDescent="0.2">
      <c r="A28" s="66" t="str">
        <f>A7 &amp; ".04"</f>
        <v>03.01.04</v>
      </c>
      <c r="B28" s="38" t="s">
        <v>56</v>
      </c>
      <c r="C28" s="24" t="s">
        <v>46</v>
      </c>
      <c r="D28" s="25"/>
      <c r="E28" s="26"/>
      <c r="F28" s="26"/>
      <c r="G28" s="26"/>
      <c r="H28" s="26">
        <v>1</v>
      </c>
      <c r="I28" s="27">
        <f t="shared" ref="I28:I31" si="0">+H28</f>
        <v>1</v>
      </c>
    </row>
    <row r="29" spans="1:9" ht="15" customHeight="1" x14ac:dyDescent="0.2">
      <c r="A29" s="67"/>
      <c r="B29" s="57" t="s">
        <v>84</v>
      </c>
      <c r="C29" s="51" t="s">
        <v>47</v>
      </c>
      <c r="D29" s="58">
        <v>2</v>
      </c>
      <c r="E29" s="53"/>
      <c r="F29" s="53"/>
      <c r="G29" s="53"/>
      <c r="H29" s="53"/>
      <c r="I29" s="54"/>
    </row>
    <row r="30" spans="1:9" ht="15" customHeight="1" x14ac:dyDescent="0.2">
      <c r="A30" s="67"/>
      <c r="B30" s="57"/>
      <c r="C30" s="51"/>
      <c r="D30" s="52"/>
      <c r="E30" s="53"/>
      <c r="F30" s="53"/>
      <c r="G30" s="53"/>
      <c r="H30" s="53"/>
      <c r="I30" s="54"/>
    </row>
    <row r="31" spans="1:9" ht="15" customHeight="1" x14ac:dyDescent="0.2">
      <c r="A31" s="66" t="str">
        <f>A7 &amp; ".05"</f>
        <v>03.01.05</v>
      </c>
      <c r="B31" s="37" t="s">
        <v>57</v>
      </c>
      <c r="C31" s="24" t="s">
        <v>46</v>
      </c>
      <c r="D31" s="36"/>
      <c r="E31" s="22"/>
      <c r="F31" s="22"/>
      <c r="G31" s="22"/>
      <c r="H31" s="26">
        <v>1</v>
      </c>
      <c r="I31" s="27">
        <f t="shared" si="0"/>
        <v>1</v>
      </c>
    </row>
    <row r="32" spans="1:9" ht="15" customHeight="1" x14ac:dyDescent="0.2">
      <c r="A32" s="66"/>
      <c r="B32" s="62" t="s">
        <v>85</v>
      </c>
      <c r="C32" s="2" t="s">
        <v>47</v>
      </c>
      <c r="D32" s="1">
        <v>4</v>
      </c>
      <c r="E32" s="22"/>
      <c r="F32" s="22"/>
      <c r="G32" s="22"/>
      <c r="H32" s="22"/>
      <c r="I32" s="23"/>
    </row>
    <row r="33" spans="1:9" ht="15" customHeight="1" x14ac:dyDescent="0.2">
      <c r="A33" s="67"/>
      <c r="B33" s="61" t="s">
        <v>51</v>
      </c>
      <c r="C33" s="51" t="s">
        <v>70</v>
      </c>
      <c r="D33" s="58">
        <v>2</v>
      </c>
      <c r="E33" s="53"/>
      <c r="F33" s="53"/>
      <c r="G33" s="53"/>
      <c r="H33" s="53"/>
      <c r="I33" s="54"/>
    </row>
    <row r="34" spans="1:9" ht="15" customHeight="1" x14ac:dyDescent="0.2">
      <c r="A34" s="67"/>
      <c r="B34" s="61" t="s">
        <v>53</v>
      </c>
      <c r="C34" s="51" t="s">
        <v>47</v>
      </c>
      <c r="D34" s="58">
        <v>3</v>
      </c>
      <c r="E34" s="53"/>
      <c r="F34" s="53"/>
      <c r="G34" s="53"/>
      <c r="H34" s="53"/>
      <c r="I34" s="54"/>
    </row>
    <row r="35" spans="1:9" ht="15" customHeight="1" x14ac:dyDescent="0.2">
      <c r="A35" s="67"/>
      <c r="B35" s="61" t="s">
        <v>86</v>
      </c>
      <c r="C35" s="51" t="s">
        <v>47</v>
      </c>
      <c r="D35" s="58">
        <v>3</v>
      </c>
      <c r="E35" s="53"/>
      <c r="F35" s="53"/>
      <c r="G35" s="53"/>
      <c r="H35" s="53"/>
      <c r="I35" s="54"/>
    </row>
    <row r="36" spans="1:9" ht="15" customHeight="1" x14ac:dyDescent="0.2">
      <c r="A36" s="67"/>
      <c r="B36" s="61" t="s">
        <v>87</v>
      </c>
      <c r="C36" s="51" t="s">
        <v>47</v>
      </c>
      <c r="D36" s="58">
        <v>1</v>
      </c>
      <c r="E36" s="53"/>
      <c r="F36" s="53"/>
      <c r="G36" s="53"/>
      <c r="H36" s="53"/>
      <c r="I36" s="54"/>
    </row>
    <row r="37" spans="1:9" ht="15" customHeight="1" x14ac:dyDescent="0.2">
      <c r="A37" s="67"/>
      <c r="B37" s="57"/>
      <c r="C37" s="51"/>
      <c r="D37" s="52"/>
      <c r="E37" s="53"/>
      <c r="F37" s="53"/>
      <c r="G37" s="53"/>
      <c r="H37" s="53"/>
      <c r="I37" s="54"/>
    </row>
    <row r="38" spans="1:9" ht="15" customHeight="1" x14ac:dyDescent="0.2">
      <c r="A38" s="65" t="str">
        <f>A6 &amp; ".02"</f>
        <v>03.02</v>
      </c>
      <c r="B38" s="56" t="s">
        <v>42</v>
      </c>
      <c r="C38" s="24"/>
      <c r="D38" s="25"/>
      <c r="E38" s="26"/>
      <c r="F38" s="26"/>
      <c r="G38" s="26"/>
      <c r="H38" s="26"/>
      <c r="I38" s="27"/>
    </row>
    <row r="39" spans="1:9" s="41" customFormat="1" ht="15" customHeight="1" x14ac:dyDescent="0.2">
      <c r="A39" s="65" t="str">
        <f>A38 &amp; ".01"</f>
        <v>03.02.01</v>
      </c>
      <c r="B39" s="42" t="s">
        <v>58</v>
      </c>
      <c r="C39" s="43"/>
      <c r="D39" s="44"/>
      <c r="E39" s="23"/>
      <c r="F39" s="23"/>
      <c r="G39" s="23"/>
      <c r="H39" s="23"/>
      <c r="I39" s="23"/>
    </row>
    <row r="40" spans="1:9" ht="15" customHeight="1" x14ac:dyDescent="0.2">
      <c r="A40" s="66" t="str">
        <f>A39 &amp; ".01"</f>
        <v>03.02.01.01</v>
      </c>
      <c r="B40" s="37" t="s">
        <v>98</v>
      </c>
      <c r="C40" s="2" t="s">
        <v>48</v>
      </c>
      <c r="D40" s="1">
        <v>3</v>
      </c>
      <c r="E40" s="22"/>
      <c r="F40" s="22"/>
      <c r="G40" s="22"/>
      <c r="H40" s="48">
        <f>Tabla32[[#This Row],[VECES]]</f>
        <v>3</v>
      </c>
      <c r="I40" s="23">
        <f>Tabla32[[#This Row],[SUB-TOTAL]]</f>
        <v>3</v>
      </c>
    </row>
    <row r="41" spans="1:9" ht="15" customHeight="1" x14ac:dyDescent="0.2">
      <c r="A41" s="67"/>
      <c r="B41" s="62" t="s">
        <v>105</v>
      </c>
      <c r="C41" s="51" t="s">
        <v>48</v>
      </c>
      <c r="D41" s="53">
        <v>3</v>
      </c>
      <c r="E41" s="53"/>
      <c r="F41" s="53"/>
      <c r="G41" s="53"/>
      <c r="H41" s="53"/>
      <c r="I41" s="54"/>
    </row>
    <row r="42" spans="1:9" ht="15" customHeight="1" x14ac:dyDescent="0.2">
      <c r="A42" s="67"/>
      <c r="B42" s="57"/>
      <c r="C42" s="51"/>
      <c r="D42" s="52"/>
      <c r="E42" s="53">
        <v>1</v>
      </c>
      <c r="F42" s="53"/>
      <c r="G42" s="53"/>
      <c r="H42" s="53"/>
      <c r="I42" s="54"/>
    </row>
    <row r="43" spans="1:9" ht="15" customHeight="1" x14ac:dyDescent="0.2">
      <c r="A43" s="66" t="str">
        <f>A39 &amp; ".02"</f>
        <v>03.02.01.02</v>
      </c>
      <c r="B43" s="37" t="s">
        <v>59</v>
      </c>
      <c r="C43" s="2" t="s">
        <v>48</v>
      </c>
      <c r="D43" s="1">
        <v>3</v>
      </c>
      <c r="E43" s="22"/>
      <c r="F43" s="22"/>
      <c r="G43" s="22"/>
      <c r="H43" s="48">
        <f>Tabla32[[#This Row],[VECES]]</f>
        <v>3</v>
      </c>
      <c r="I43" s="23">
        <f>Tabla32[[#This Row],[SUB-TOTAL]]</f>
        <v>3</v>
      </c>
    </row>
    <row r="44" spans="1:9" ht="15" customHeight="1" x14ac:dyDescent="0.2">
      <c r="A44" s="66" t="str">
        <f>A39 &amp; ".03"</f>
        <v>03.02.01.03</v>
      </c>
      <c r="B44" s="37" t="s">
        <v>99</v>
      </c>
      <c r="C44" s="2" t="s">
        <v>100</v>
      </c>
      <c r="D44" s="1">
        <v>30</v>
      </c>
      <c r="E44" s="22"/>
      <c r="F44" s="22"/>
      <c r="G44" s="22"/>
      <c r="H44" s="48"/>
      <c r="I44" s="23">
        <f>+Tabla32[[#This Row],[VECES]]</f>
        <v>30</v>
      </c>
    </row>
    <row r="45" spans="1:9" ht="15" customHeight="1" x14ac:dyDescent="0.2">
      <c r="A45" s="66" t="str">
        <f>A39 &amp; ".04"</f>
        <v>03.02.01.04</v>
      </c>
      <c r="B45" s="37" t="s">
        <v>101</v>
      </c>
      <c r="C45" s="2" t="s">
        <v>102</v>
      </c>
      <c r="D45" s="1">
        <v>1</v>
      </c>
      <c r="E45" s="22"/>
      <c r="F45" s="22"/>
      <c r="G45" s="22"/>
      <c r="H45" s="48">
        <v>1</v>
      </c>
      <c r="I45" s="23">
        <f>Tabla32[[#This Row],[SUB-TOTAL]]</f>
        <v>1</v>
      </c>
    </row>
    <row r="46" spans="1:9" ht="15" customHeight="1" x14ac:dyDescent="0.2">
      <c r="A46" s="67"/>
      <c r="B46" s="57"/>
      <c r="C46" s="51"/>
      <c r="D46" s="52"/>
      <c r="E46" s="53"/>
      <c r="F46" s="53"/>
      <c r="G46" s="53"/>
      <c r="H46" s="53"/>
      <c r="I46" s="54"/>
    </row>
    <row r="47" spans="1:9" s="41" customFormat="1" ht="15" customHeight="1" x14ac:dyDescent="0.2">
      <c r="A47" s="65" t="str">
        <f>A38 &amp; ".02"</f>
        <v>03.02.02</v>
      </c>
      <c r="B47" s="42" t="s">
        <v>60</v>
      </c>
      <c r="C47" s="43"/>
      <c r="D47" s="46"/>
      <c r="E47" s="23"/>
      <c r="F47" s="23"/>
      <c r="G47" s="23"/>
      <c r="H47" s="49"/>
      <c r="I47" s="23"/>
    </row>
    <row r="48" spans="1:9" ht="15" customHeight="1" x14ac:dyDescent="0.2">
      <c r="A48" s="66" t="str">
        <f>A47 &amp; ".01"</f>
        <v>03.02.02.01</v>
      </c>
      <c r="B48" s="37" t="s">
        <v>103</v>
      </c>
      <c r="C48" s="2" t="s">
        <v>100</v>
      </c>
      <c r="D48" s="1">
        <v>6</v>
      </c>
      <c r="E48" s="22"/>
      <c r="F48" s="22"/>
      <c r="G48" s="22"/>
      <c r="H48" s="48">
        <f>+Tabla32[[#This Row],[VECES]]</f>
        <v>6</v>
      </c>
      <c r="I48" s="23">
        <f>Tabla32[[#This Row],[SUB-TOTAL]]</f>
        <v>6</v>
      </c>
    </row>
    <row r="49" spans="1:9" ht="15" customHeight="1" x14ac:dyDescent="0.2">
      <c r="A49" s="67"/>
      <c r="B49" s="57"/>
      <c r="C49" s="51"/>
      <c r="D49" s="52"/>
      <c r="E49" s="53"/>
      <c r="F49" s="53"/>
      <c r="G49" s="53"/>
      <c r="H49" s="53"/>
      <c r="I49" s="54"/>
    </row>
    <row r="50" spans="1:9" ht="15" customHeight="1" x14ac:dyDescent="0.2">
      <c r="A50" s="66" t="str">
        <f>A47 &amp; ".02"</f>
        <v>03.02.02.02</v>
      </c>
      <c r="B50" s="37" t="s">
        <v>104</v>
      </c>
      <c r="C50" s="2" t="s">
        <v>100</v>
      </c>
      <c r="D50" s="1">
        <v>1</v>
      </c>
      <c r="E50" s="22"/>
      <c r="F50" s="22"/>
      <c r="G50" s="22"/>
      <c r="H50" s="48">
        <v>1</v>
      </c>
      <c r="I50" s="23">
        <f>Tabla32[[#This Row],[SUB-TOTAL]]</f>
        <v>1</v>
      </c>
    </row>
    <row r="51" spans="1:9" ht="15" customHeight="1" x14ac:dyDescent="0.2">
      <c r="A51" s="67"/>
      <c r="B51" s="57"/>
      <c r="C51" s="51"/>
      <c r="D51" s="52"/>
      <c r="E51" s="53"/>
      <c r="F51" s="53"/>
      <c r="G51" s="53"/>
      <c r="H51" s="53"/>
      <c r="I51" s="54"/>
    </row>
    <row r="52" spans="1:9" s="41" customFormat="1" ht="15" customHeight="1" x14ac:dyDescent="0.2">
      <c r="A52" s="65" t="str">
        <f>A38 &amp; ".03"</f>
        <v>03.02.03</v>
      </c>
      <c r="B52" s="45" t="s">
        <v>106</v>
      </c>
      <c r="C52" s="43"/>
      <c r="D52" s="46"/>
      <c r="E52" s="23"/>
      <c r="F52" s="23"/>
      <c r="G52" s="23"/>
      <c r="H52" s="49"/>
      <c r="I52" s="23"/>
    </row>
    <row r="53" spans="1:9" ht="15" customHeight="1" x14ac:dyDescent="0.2">
      <c r="A53" s="66" t="str">
        <f>A52 &amp; ".01"</f>
        <v>03.02.03.01</v>
      </c>
      <c r="B53" s="40" t="s">
        <v>61</v>
      </c>
      <c r="C53" s="28" t="s">
        <v>47</v>
      </c>
      <c r="D53" s="50">
        <v>1</v>
      </c>
      <c r="E53" s="28"/>
      <c r="F53" s="28"/>
      <c r="G53" s="28"/>
      <c r="H53" s="50">
        <f>PRODUCT(Tabla32[[#This Row],[VECES]:[ALTURA]])</f>
        <v>1</v>
      </c>
      <c r="I53" s="23">
        <f>Tabla32[[#This Row],[SUB-TOTAL]]</f>
        <v>1</v>
      </c>
    </row>
    <row r="54" spans="1:9" ht="15" customHeight="1" x14ac:dyDescent="0.2">
      <c r="A54" s="66" t="str">
        <f>A52 &amp; ".02"</f>
        <v>03.02.03.02</v>
      </c>
      <c r="B54" s="38" t="s">
        <v>62</v>
      </c>
      <c r="C54" s="24" t="s">
        <v>47</v>
      </c>
      <c r="D54" s="47">
        <v>1</v>
      </c>
      <c r="E54" s="26"/>
      <c r="F54" s="26"/>
      <c r="G54" s="26"/>
      <c r="H54" s="50">
        <f>PRODUCT(Tabla32[[#This Row],[VECES]:[ALTURA]])</f>
        <v>1</v>
      </c>
      <c r="I54" s="23">
        <f>Tabla32[[#This Row],[SUB-TOTAL]]</f>
        <v>1</v>
      </c>
    </row>
    <row r="55" spans="1:9" ht="15" customHeight="1" x14ac:dyDescent="0.2">
      <c r="A55" s="66" t="str">
        <f>A52 &amp; ".03"</f>
        <v>03.02.03.03</v>
      </c>
      <c r="B55" s="39" t="s">
        <v>63</v>
      </c>
      <c r="C55" s="2" t="s">
        <v>47</v>
      </c>
      <c r="D55" s="1">
        <v>1</v>
      </c>
      <c r="E55" s="32"/>
      <c r="F55" s="22"/>
      <c r="G55" s="22"/>
      <c r="H55" s="50">
        <f>PRODUCT(Tabla32[[#This Row],[VECES]:[ALTURA]])</f>
        <v>1</v>
      </c>
      <c r="I55" s="23">
        <f>Tabla32[[#This Row],[SUB-TOTAL]]</f>
        <v>1</v>
      </c>
    </row>
    <row r="56" spans="1:9" ht="15" customHeight="1" x14ac:dyDescent="0.2">
      <c r="A56" s="66" t="str">
        <f>A52 &amp; ".04"</f>
        <v>03.02.03.04</v>
      </c>
      <c r="B56" s="40" t="s">
        <v>64</v>
      </c>
      <c r="C56" s="28" t="s">
        <v>47</v>
      </c>
      <c r="D56" s="50">
        <v>1</v>
      </c>
      <c r="E56" s="28"/>
      <c r="F56" s="28"/>
      <c r="G56" s="28"/>
      <c r="H56" s="50">
        <f>PRODUCT(Tabla32[[#This Row],[VECES]:[ALTURA]])</f>
        <v>1</v>
      </c>
      <c r="I56" s="23">
        <f>Tabla32[[#This Row],[SUB-TOTAL]]</f>
        <v>1</v>
      </c>
    </row>
    <row r="57" spans="1:9" ht="15" customHeight="1" x14ac:dyDescent="0.2">
      <c r="A57" s="67"/>
      <c r="B57" s="57"/>
      <c r="C57" s="51"/>
      <c r="D57" s="52"/>
      <c r="E57" s="53"/>
      <c r="F57" s="53"/>
      <c r="G57" s="53"/>
      <c r="H57" s="53"/>
      <c r="I57" s="54"/>
    </row>
    <row r="58" spans="1:9" s="41" customFormat="1" ht="15" customHeight="1" x14ac:dyDescent="0.2">
      <c r="A58" s="65" t="str">
        <f>A38 &amp; ".04"</f>
        <v>03.02.04</v>
      </c>
      <c r="B58" s="42" t="s">
        <v>65</v>
      </c>
      <c r="C58" s="43"/>
      <c r="D58" s="46"/>
      <c r="E58" s="23"/>
      <c r="F58" s="23"/>
      <c r="G58" s="23"/>
      <c r="H58" s="49"/>
      <c r="I58" s="23"/>
    </row>
    <row r="59" spans="1:9" ht="15" customHeight="1" x14ac:dyDescent="0.2">
      <c r="A59" s="66" t="str">
        <f>A58 &amp; ".01"</f>
        <v>03.02.04.01</v>
      </c>
      <c r="B59" s="37" t="s">
        <v>66</v>
      </c>
      <c r="C59" s="2" t="s">
        <v>46</v>
      </c>
      <c r="D59" s="1">
        <v>1</v>
      </c>
      <c r="E59" s="22"/>
      <c r="F59" s="22"/>
      <c r="G59" s="22"/>
      <c r="H59" s="48">
        <v>1</v>
      </c>
      <c r="I59" s="23">
        <f>Tabla32[[#This Row],[SUB-TOTAL]]</f>
        <v>1</v>
      </c>
    </row>
    <row r="60" spans="1:9" ht="15" customHeight="1" x14ac:dyDescent="0.2">
      <c r="A60" s="67"/>
      <c r="B60" s="61" t="s">
        <v>88</v>
      </c>
      <c r="C60" s="51" t="s">
        <v>47</v>
      </c>
      <c r="D60" s="58">
        <v>1</v>
      </c>
      <c r="E60" s="53"/>
      <c r="F60" s="53"/>
      <c r="G60" s="53"/>
      <c r="H60" s="53"/>
      <c r="I60" s="54"/>
    </row>
    <row r="61" spans="1:9" ht="15" customHeight="1" x14ac:dyDescent="0.2">
      <c r="A61" s="67"/>
      <c r="B61" s="61" t="s">
        <v>89</v>
      </c>
      <c r="C61" s="51" t="s">
        <v>47</v>
      </c>
      <c r="D61" s="58">
        <v>1</v>
      </c>
      <c r="E61" s="53"/>
      <c r="F61" s="53"/>
      <c r="G61" s="53"/>
      <c r="H61" s="53"/>
      <c r="I61" s="54"/>
    </row>
    <row r="62" spans="1:9" ht="15" customHeight="1" x14ac:dyDescent="0.2">
      <c r="A62" s="67"/>
      <c r="B62" s="61" t="s">
        <v>90</v>
      </c>
      <c r="C62" s="51" t="s">
        <v>47</v>
      </c>
      <c r="D62" s="58">
        <v>1</v>
      </c>
      <c r="E62" s="53"/>
      <c r="F62" s="53"/>
      <c r="G62" s="53"/>
      <c r="H62" s="53"/>
      <c r="I62" s="54"/>
    </row>
    <row r="63" spans="1:9" ht="15" customHeight="1" x14ac:dyDescent="0.2">
      <c r="A63" s="67"/>
      <c r="B63" s="61" t="s">
        <v>91</v>
      </c>
      <c r="C63" s="51" t="s">
        <v>0</v>
      </c>
      <c r="D63" s="58">
        <v>24</v>
      </c>
      <c r="E63" s="53"/>
      <c r="F63" s="53"/>
      <c r="G63" s="53"/>
      <c r="H63" s="53"/>
      <c r="I63" s="54"/>
    </row>
    <row r="64" spans="1:9" ht="15" customHeight="1" x14ac:dyDescent="0.2">
      <c r="A64" s="67"/>
      <c r="B64" s="61" t="s">
        <v>92</v>
      </c>
      <c r="C64" s="51" t="s">
        <v>47</v>
      </c>
      <c r="D64" s="58">
        <v>10</v>
      </c>
      <c r="E64" s="53"/>
      <c r="F64" s="53"/>
      <c r="G64" s="53"/>
      <c r="H64" s="53"/>
      <c r="I64" s="54"/>
    </row>
    <row r="65" spans="1:9" ht="15" customHeight="1" x14ac:dyDescent="0.2">
      <c r="A65" s="67"/>
      <c r="B65" s="57"/>
      <c r="C65" s="51"/>
      <c r="D65" s="52"/>
      <c r="E65" s="53"/>
      <c r="F65" s="53"/>
      <c r="G65" s="53"/>
      <c r="H65" s="53"/>
      <c r="I65" s="54"/>
    </row>
    <row r="66" spans="1:9" ht="15" customHeight="1" x14ac:dyDescent="0.2">
      <c r="A66" s="66" t="str">
        <f>A58 &amp; ".02"</f>
        <v>03.02.04.02</v>
      </c>
      <c r="B66" s="37" t="s">
        <v>67</v>
      </c>
      <c r="C66" s="2" t="s">
        <v>46</v>
      </c>
      <c r="D66" s="1">
        <v>1</v>
      </c>
      <c r="E66" s="22"/>
      <c r="F66" s="22"/>
      <c r="G66" s="22"/>
      <c r="H66" s="48">
        <v>1</v>
      </c>
      <c r="I66" s="23">
        <f>Tabla32[[#This Row],[SUB-TOTAL]]</f>
        <v>1</v>
      </c>
    </row>
    <row r="67" spans="1:9" ht="15" customHeight="1" x14ac:dyDescent="0.2">
      <c r="A67" s="67"/>
      <c r="B67" s="61" t="s">
        <v>93</v>
      </c>
      <c r="C67" s="51" t="s">
        <v>50</v>
      </c>
      <c r="D67" s="53">
        <v>1</v>
      </c>
      <c r="E67" s="53"/>
      <c r="F67" s="53"/>
      <c r="G67" s="53"/>
      <c r="H67" s="53"/>
      <c r="I67" s="54"/>
    </row>
    <row r="68" spans="1:9" ht="15" customHeight="1" x14ac:dyDescent="0.2">
      <c r="A68" s="67"/>
      <c r="B68" s="57"/>
      <c r="C68" s="51"/>
      <c r="D68" s="52"/>
      <c r="E68" s="53"/>
      <c r="F68" s="53"/>
      <c r="G68" s="53"/>
      <c r="H68" s="53"/>
      <c r="I68" s="54"/>
    </row>
    <row r="69" spans="1:9" ht="15" customHeight="1" x14ac:dyDescent="0.2">
      <c r="A69" s="66" t="str">
        <f>A58 &amp; ".03"</f>
        <v>03.02.04.03</v>
      </c>
      <c r="B69" s="37" t="s">
        <v>68</v>
      </c>
      <c r="C69" s="2" t="s">
        <v>49</v>
      </c>
      <c r="D69" s="1">
        <v>1</v>
      </c>
      <c r="E69" s="22"/>
      <c r="F69" s="22"/>
      <c r="G69" s="22"/>
      <c r="H69" s="48">
        <f>PRODUCT(E70:G70)</f>
        <v>150</v>
      </c>
      <c r="I69" s="23">
        <f>Tabla32[[#This Row],[SUB-TOTAL]]</f>
        <v>150</v>
      </c>
    </row>
    <row r="70" spans="1:9" ht="15" customHeight="1" x14ac:dyDescent="0.2">
      <c r="A70" s="67"/>
      <c r="B70" s="61" t="s">
        <v>94</v>
      </c>
      <c r="C70" s="51" t="s">
        <v>49</v>
      </c>
      <c r="D70" s="52"/>
      <c r="E70" s="53">
        <v>10</v>
      </c>
      <c r="F70" s="53">
        <v>15</v>
      </c>
      <c r="G70" s="53"/>
      <c r="H70" s="53"/>
      <c r="I70" s="54"/>
    </row>
    <row r="71" spans="1:9" ht="15" customHeight="1" x14ac:dyDescent="0.2">
      <c r="A71" s="67"/>
      <c r="B71" s="57"/>
      <c r="C71" s="51"/>
      <c r="D71" s="52"/>
      <c r="E71" s="53"/>
      <c r="F71" s="53"/>
      <c r="G71" s="53"/>
      <c r="H71" s="53"/>
      <c r="I71" s="54"/>
    </row>
    <row r="72" spans="1:9" ht="15" customHeight="1" x14ac:dyDescent="0.2">
      <c r="A72" s="74" t="str">
        <f>A58 &amp; ".04"</f>
        <v>03.02.04.04</v>
      </c>
      <c r="B72" s="75" t="s">
        <v>69</v>
      </c>
      <c r="C72" s="76" t="s">
        <v>49</v>
      </c>
      <c r="D72" s="77">
        <v>1</v>
      </c>
      <c r="E72" s="78" t="s">
        <v>95</v>
      </c>
      <c r="F72" s="78">
        <v>150</v>
      </c>
      <c r="G72" s="78"/>
      <c r="H72" s="79">
        <f>PRODUCT(Tabla32[[#This Row],[VECES]:[ALTURA]])</f>
        <v>150</v>
      </c>
      <c r="I72" s="80">
        <f>Tabla32[[#This Row],[SUB-TOTAL]]</f>
        <v>150</v>
      </c>
    </row>
  </sheetData>
  <mergeCells count="3">
    <mergeCell ref="A1:I1"/>
    <mergeCell ref="A3:I3"/>
    <mergeCell ref="A2:H2"/>
  </mergeCells>
  <pageMargins left="0.70866141732283472" right="0.31496062992125984" top="0.74803149606299213" bottom="0.74803149606299213" header="0.31496062992125984" footer="0.31496062992125984"/>
  <pageSetup paperSize="9" scale="59" fitToWidth="0" fitToHeight="0" orientation="portrait" verticalDpi="300" r:id="rId1"/>
  <headerFooter>
    <oddFooter>Página &amp;P&amp;R&amp;A</oddFooter>
  </headerFooter>
  <colBreaks count="1" manualBreakCount="1">
    <brk id="9" max="130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3"/>
  <sheetViews>
    <sheetView showGridLines="0" view="pageBreakPreview" topLeftCell="A7" zoomScaleNormal="100" zoomScaleSheetLayoutView="100" workbookViewId="0">
      <selection activeCell="E22" sqref="E22"/>
    </sheetView>
  </sheetViews>
  <sheetFormatPr baseColWidth="10" defaultRowHeight="11.25" x14ac:dyDescent="0.2"/>
  <cols>
    <col min="1" max="1" width="3.6640625" customWidth="1"/>
    <col min="2" max="2" width="36.6640625" bestFit="1" customWidth="1"/>
    <col min="3" max="3" width="13.1640625" customWidth="1"/>
    <col min="4" max="4" width="17" style="9" customWidth="1"/>
    <col min="5" max="5" width="17" customWidth="1"/>
    <col min="6" max="6" width="22.5" bestFit="1" customWidth="1"/>
    <col min="7" max="8" width="13.1640625" customWidth="1"/>
    <col min="9" max="9" width="18.5" customWidth="1"/>
    <col min="10" max="11" width="13.1640625" customWidth="1"/>
  </cols>
  <sheetData>
    <row r="2" spans="2:10" ht="12.75" x14ac:dyDescent="0.2">
      <c r="B2" s="3" t="s">
        <v>10</v>
      </c>
      <c r="C2" s="3" t="s">
        <v>11</v>
      </c>
      <c r="D2" s="3" t="s">
        <v>12</v>
      </c>
      <c r="E2" s="4"/>
    </row>
    <row r="3" spans="2:10" ht="12.75" x14ac:dyDescent="0.2">
      <c r="B3" s="94" t="s">
        <v>13</v>
      </c>
      <c r="C3" s="95"/>
      <c r="D3" s="96"/>
      <c r="E3" s="4"/>
    </row>
    <row r="4" spans="2:10" ht="15" x14ac:dyDescent="0.2">
      <c r="B4" s="5" t="s">
        <v>14</v>
      </c>
      <c r="C4" s="15">
        <f>+[5]Sheet1!$AA$22</f>
        <v>50682.177900000002</v>
      </c>
      <c r="D4" s="8"/>
      <c r="E4" s="4" t="s">
        <v>31</v>
      </c>
      <c r="J4" s="16"/>
    </row>
    <row r="5" spans="2:10" ht="15" x14ac:dyDescent="0.2">
      <c r="B5" s="5" t="s">
        <v>15</v>
      </c>
      <c r="C5" s="15">
        <v>5</v>
      </c>
      <c r="D5" s="8" t="s">
        <v>16</v>
      </c>
      <c r="E5" s="4" t="s">
        <v>17</v>
      </c>
      <c r="J5" s="16"/>
    </row>
    <row r="6" spans="2:10" ht="12.75" x14ac:dyDescent="0.2">
      <c r="B6" s="5" t="s">
        <v>18</v>
      </c>
      <c r="C6" s="6">
        <f>+C5*30</f>
        <v>150</v>
      </c>
      <c r="D6" s="8" t="s">
        <v>19</v>
      </c>
      <c r="E6" s="4"/>
    </row>
    <row r="7" spans="2:10" ht="12.75" x14ac:dyDescent="0.2">
      <c r="B7" s="5" t="s">
        <v>20</v>
      </c>
      <c r="C7" s="7">
        <v>8</v>
      </c>
      <c r="D7" s="8" t="s">
        <v>21</v>
      </c>
      <c r="E7" s="4"/>
    </row>
    <row r="8" spans="2:10" ht="12.75" x14ac:dyDescent="0.2">
      <c r="B8" s="5" t="s">
        <v>40</v>
      </c>
      <c r="C8" s="7">
        <f>(ROUNDUP(C4/C7/26/C5,0))+6+4</f>
        <v>59</v>
      </c>
      <c r="D8" s="8" t="s">
        <v>22</v>
      </c>
      <c r="E8" s="4"/>
    </row>
    <row r="9" spans="2:10" x14ac:dyDescent="0.2">
      <c r="I9" s="35">
        <v>50286.465700000001</v>
      </c>
    </row>
    <row r="10" spans="2:10" x14ac:dyDescent="0.2">
      <c r="B10" s="97" t="s">
        <v>25</v>
      </c>
      <c r="C10" s="100" t="s">
        <v>11</v>
      </c>
      <c r="D10" s="98" t="s">
        <v>27</v>
      </c>
      <c r="E10" s="99"/>
    </row>
    <row r="11" spans="2:10" x14ac:dyDescent="0.2">
      <c r="B11" s="97"/>
      <c r="C11" s="101"/>
      <c r="D11" s="11" t="s">
        <v>26</v>
      </c>
      <c r="E11" s="11" t="s">
        <v>23</v>
      </c>
    </row>
    <row r="12" spans="2:10" ht="15" x14ac:dyDescent="0.2">
      <c r="B12" s="14" t="s">
        <v>39</v>
      </c>
      <c r="C12" s="15">
        <v>1</v>
      </c>
      <c r="D12" s="33">
        <v>9</v>
      </c>
      <c r="E12" s="33">
        <v>9</v>
      </c>
    </row>
    <row r="13" spans="2:10" ht="15" x14ac:dyDescent="0.2">
      <c r="B13" s="14" t="s">
        <v>38</v>
      </c>
      <c r="C13" s="15">
        <v>1</v>
      </c>
      <c r="D13" s="33">
        <v>6</v>
      </c>
      <c r="E13" s="33">
        <v>9</v>
      </c>
    </row>
    <row r="14" spans="2:10" ht="15" x14ac:dyDescent="0.2">
      <c r="B14" s="10" t="s">
        <v>41</v>
      </c>
      <c r="C14" s="15">
        <v>1</v>
      </c>
      <c r="D14" s="33">
        <v>27</v>
      </c>
      <c r="E14" s="33">
        <v>45</v>
      </c>
    </row>
    <row r="15" spans="2:10" ht="15" x14ac:dyDescent="0.2">
      <c r="B15" s="10" t="s">
        <v>24</v>
      </c>
      <c r="C15" s="15">
        <v>1</v>
      </c>
      <c r="D15" s="33">
        <v>9</v>
      </c>
      <c r="E15" s="33">
        <v>9</v>
      </c>
    </row>
    <row r="16" spans="2:10" ht="15" x14ac:dyDescent="0.2">
      <c r="B16" s="10" t="s">
        <v>36</v>
      </c>
      <c r="C16" s="15">
        <v>0</v>
      </c>
      <c r="D16" s="12">
        <v>0</v>
      </c>
      <c r="E16" s="12">
        <v>0</v>
      </c>
    </row>
    <row r="17" spans="2:6" x14ac:dyDescent="0.2">
      <c r="B17" s="14" t="s">
        <v>29</v>
      </c>
      <c r="C17" s="19">
        <f>+E21</f>
        <v>4916.5999999999995</v>
      </c>
      <c r="D17" s="13" t="s">
        <v>28</v>
      </c>
      <c r="E17" s="12"/>
      <c r="F17" s="12"/>
    </row>
    <row r="18" spans="2:6" x14ac:dyDescent="0.2">
      <c r="B18" s="14" t="s">
        <v>30</v>
      </c>
      <c r="C18" s="19">
        <f>+E22/2</f>
        <v>0</v>
      </c>
      <c r="D18" s="13" t="s">
        <v>28</v>
      </c>
      <c r="E18" s="12"/>
      <c r="F18" s="12"/>
    </row>
    <row r="19" spans="2:6" x14ac:dyDescent="0.2">
      <c r="B19" s="16"/>
      <c r="C19" s="9"/>
      <c r="D19" s="17"/>
      <c r="E19" s="9"/>
      <c r="F19" s="9"/>
    </row>
    <row r="20" spans="2:6" x14ac:dyDescent="0.2">
      <c r="B20" s="92" t="s">
        <v>32</v>
      </c>
      <c r="C20" s="93"/>
      <c r="D20" s="93"/>
      <c r="E20" s="18" t="s">
        <v>11</v>
      </c>
      <c r="F20" s="18" t="s">
        <v>12</v>
      </c>
    </row>
    <row r="21" spans="2:6" ht="15" x14ac:dyDescent="0.2">
      <c r="B21" s="89" t="s">
        <v>34</v>
      </c>
      <c r="C21" s="90"/>
      <c r="D21" s="91"/>
      <c r="E21" s="34">
        <f>918.3+841.8+1799.26+1357.24</f>
        <v>4916.5999999999995</v>
      </c>
      <c r="F21" s="31" t="s">
        <v>0</v>
      </c>
    </row>
    <row r="22" spans="2:6" ht="15" x14ac:dyDescent="0.2">
      <c r="B22" s="89" t="s">
        <v>35</v>
      </c>
      <c r="C22" s="90"/>
      <c r="D22" s="91"/>
      <c r="E22" s="15">
        <v>0</v>
      </c>
      <c r="F22" s="31" t="s">
        <v>0</v>
      </c>
    </row>
    <row r="23" spans="2:6" ht="15" x14ac:dyDescent="0.2">
      <c r="B23" s="89" t="s">
        <v>33</v>
      </c>
      <c r="C23" s="90"/>
      <c r="D23" s="91"/>
      <c r="E23" s="15">
        <v>1</v>
      </c>
      <c r="F23" s="31" t="s">
        <v>0</v>
      </c>
    </row>
  </sheetData>
  <mergeCells count="8">
    <mergeCell ref="B23:D23"/>
    <mergeCell ref="B20:D20"/>
    <mergeCell ref="B22:D22"/>
    <mergeCell ref="B3:D3"/>
    <mergeCell ref="B10:B11"/>
    <mergeCell ref="D10:E10"/>
    <mergeCell ref="C10:C11"/>
    <mergeCell ref="B21:D21"/>
  </mergeCells>
  <pageMargins left="0.7" right="0.7" top="0.75" bottom="0.75" header="0.3" footer="0.3"/>
  <pageSetup paperSize="9" scale="53" orientation="portrait" horizontalDpi="4294967292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MITIGACION AMBIENTAL</vt:lpstr>
      <vt:lpstr>Datos</vt:lpstr>
      <vt:lpstr>Datos!Área_de_impresión</vt:lpstr>
      <vt:lpstr>'MITIGACION AMBIENTAL'!Área_de_impresión</vt:lpstr>
      <vt:lpstr>'MITIGACION AMBIENTAL'!Títulos_a_imprimir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WINDOWS</cp:lastModifiedBy>
  <cp:lastPrinted>2026-04-28T01:01:15Z</cp:lastPrinted>
  <dcterms:created xsi:type="dcterms:W3CDTF">2014-10-08T10:46:05Z</dcterms:created>
  <dcterms:modified xsi:type="dcterms:W3CDTF">2026-04-28T01:01:18Z</dcterms:modified>
</cp:coreProperties>
</file>