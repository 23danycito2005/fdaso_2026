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02. EXP. TECN. CC. BAJO PITOCUNA\04. Planilla de metrados ✔ok\04.02. SISTEMA DE SANEAMIENTO ok\"/>
    </mc:Choice>
  </mc:AlternateContent>
  <xr:revisionPtr revIDLastSave="0" documentId="13_ncr:1_{2AF95923-70BD-4489-BC5A-35E53E19243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UBS AH" sheetId="1" r:id="rId1"/>
    <sheet name="Metrado de Acero" sheetId="2" state="hidden" r:id="rId2"/>
    <sheet name="UBS TRATAMIENTO" sheetId="8" r:id="rId3"/>
    <sheet name="Metrado Acero" sheetId="4" r:id="rId4"/>
    <sheet name="Acero" sheetId="6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PP1" localSheetId="1">'[1]Red 12Piletas'!$E$99</definedName>
    <definedName name="__PP1">'[2]Red 12Piletas'!$E$99</definedName>
    <definedName name="__PP10" localSheetId="1">'[1]Red 12Piletas'!$E$127</definedName>
    <definedName name="__PP10">'[2]Red 12Piletas'!$E$127</definedName>
    <definedName name="__PP11" localSheetId="1">'[1]Red 12Piletas'!$E$131</definedName>
    <definedName name="__PP11">'[2]Red 12Piletas'!$E$131</definedName>
    <definedName name="__PP12" localSheetId="1">'[1]Red 12Piletas'!$E$135</definedName>
    <definedName name="__PP12">'[2]Red 12Piletas'!$E$135</definedName>
    <definedName name="__PP2" localSheetId="1">'[1]Red 12Piletas'!$E$102</definedName>
    <definedName name="__PP2">'[2]Red 12Piletas'!$E$102</definedName>
    <definedName name="__PP3" localSheetId="1">'[1]Red 12Piletas'!$E$105</definedName>
    <definedName name="__PP3">'[2]Red 12Piletas'!$E$105</definedName>
    <definedName name="__PP4" localSheetId="1">'[1]Red 12Piletas'!$E$108</definedName>
    <definedName name="__PP4">'[2]Red 12Piletas'!$E$108</definedName>
    <definedName name="__PP5" localSheetId="1">'[1]Red 12Piletas'!$E$112</definedName>
    <definedName name="__PP5">'[2]Red 12Piletas'!$E$112</definedName>
    <definedName name="__PP6" localSheetId="1">'[1]Red 12Piletas'!$E$115</definedName>
    <definedName name="__PP6">'[2]Red 12Piletas'!$E$115</definedName>
    <definedName name="__PP7" localSheetId="1">'[1]Red 12Piletas'!$E$118</definedName>
    <definedName name="__PP7">'[2]Red 12Piletas'!$E$118</definedName>
    <definedName name="__PP8" localSheetId="1">'[1]Red 12Piletas'!$E$121</definedName>
    <definedName name="__PP8">'[2]Red 12Piletas'!$E$121</definedName>
    <definedName name="__PP9" localSheetId="1">'[1]Red 12Piletas'!$E$124</definedName>
    <definedName name="__PP9">'[2]Red 12Piletas'!$E$124</definedName>
    <definedName name="_PP1" localSheetId="1">'[1]Red 12Piletas'!$E$99</definedName>
    <definedName name="_PP1">'[2]Red 12Piletas'!$E$99</definedName>
    <definedName name="_PP10" localSheetId="1">'[1]Red 12Piletas'!$E$127</definedName>
    <definedName name="_PP10">'[2]Red 12Piletas'!$E$127</definedName>
    <definedName name="_PP11" localSheetId="1">'[1]Red 12Piletas'!$E$131</definedName>
    <definedName name="_PP11">'[2]Red 12Piletas'!$E$131</definedName>
    <definedName name="_PP12" localSheetId="1">'[1]Red 12Piletas'!$E$135</definedName>
    <definedName name="_PP12">'[2]Red 12Piletas'!$E$135</definedName>
    <definedName name="_PP2" localSheetId="1">'[1]Red 12Piletas'!$E$102</definedName>
    <definedName name="_PP2">'[2]Red 12Piletas'!$E$102</definedName>
    <definedName name="_PP3" localSheetId="1">'[1]Red 12Piletas'!$E$105</definedName>
    <definedName name="_PP3">'[2]Red 12Piletas'!$E$105</definedName>
    <definedName name="_PP4" localSheetId="1">'[1]Red 12Piletas'!$E$108</definedName>
    <definedName name="_PP4">'[2]Red 12Piletas'!$E$108</definedName>
    <definedName name="_PP5" localSheetId="1">'[1]Red 12Piletas'!$E$112</definedName>
    <definedName name="_PP5">'[2]Red 12Piletas'!$E$112</definedName>
    <definedName name="_PP6" localSheetId="1">'[1]Red 12Piletas'!$E$115</definedName>
    <definedName name="_PP6">'[2]Red 12Piletas'!$E$115</definedName>
    <definedName name="_PP7" localSheetId="1">'[1]Red 12Piletas'!$E$118</definedName>
    <definedName name="_PP7">'[2]Red 12Piletas'!$E$118</definedName>
    <definedName name="_PP8" localSheetId="1">'[1]Red 12Piletas'!$E$121</definedName>
    <definedName name="_PP8">'[2]Red 12Piletas'!$E$121</definedName>
    <definedName name="_PP9" localSheetId="1">'[1]Red 12Piletas'!$E$124</definedName>
    <definedName name="_PP9">'[2]Red 12Piletas'!$E$124</definedName>
    <definedName name="A" localSheetId="1">#REF!</definedName>
    <definedName name="A">#REF!</definedName>
    <definedName name="_xlnm.Print_Area" localSheetId="0">'UBS AH'!$B$1:$J$302</definedName>
    <definedName name="_xlnm.Print_Area" localSheetId="2">'UBS TRATAMIENTO'!$A$1:$K$246</definedName>
    <definedName name="B" localSheetId="1">#REF!</definedName>
    <definedName name="B" localSheetId="2">#REF!</definedName>
    <definedName name="B">#REF!</definedName>
    <definedName name="captac2" localSheetId="1">#REF!</definedName>
    <definedName name="captac2">#REF!</definedName>
    <definedName name="COSTO2.03.01" localSheetId="1">'[3]Cuadro Nº06-C.U.'!#REF!</definedName>
    <definedName name="COSTO2.03.01">'[3]Cuadro Nº06-C.U.'!#REF!</definedName>
    <definedName name="COSTO2.03.02" localSheetId="1">'[3]Cuadro Nº06-C.U.'!#REF!</definedName>
    <definedName name="COSTO2.03.02">'[3]Cuadro Nº06-C.U.'!#REF!</definedName>
    <definedName name="COSTO2.05" localSheetId="1">'[3]Cuadro Nº06-C.U.'!#REF!</definedName>
    <definedName name="COSTO2.05">'[3]Cuadro Nº06-C.U.'!#REF!</definedName>
    <definedName name="COSTO3.02" localSheetId="1">'[3]Cuadro Nº06-C.U.'!#REF!</definedName>
    <definedName name="COSTO3.02">'[3]Cuadro Nº06-C.U.'!#REF!</definedName>
    <definedName name="COSTO3.03" localSheetId="1">'[3]Cuadro Nº06-C.U.'!#REF!</definedName>
    <definedName name="COSTO3.03">'[3]Cuadro Nº06-C.U.'!#REF!</definedName>
    <definedName name="COSTO3.04" localSheetId="1">'[3]Cuadro Nº06-C.U.'!#REF!</definedName>
    <definedName name="COSTO3.04">'[3]Cuadro Nº06-C.U.'!#REF!</definedName>
    <definedName name="COSTO3.05" localSheetId="1">'[3]Cuadro Nº06-C.U.'!#REF!</definedName>
    <definedName name="COSTO3.05">'[3]Cuadro Nº06-C.U.'!#REF!</definedName>
    <definedName name="H" localSheetId="1">[4]Reser_Caset!$C$6</definedName>
    <definedName name="H">[4]Reser_Caset!$C$6</definedName>
    <definedName name="La" localSheetId="1">#REF!</definedName>
    <definedName name="La" localSheetId="2">#REF!</definedName>
    <definedName name="La">#REF!</definedName>
    <definedName name="LAR" localSheetId="1">#REF!</definedName>
    <definedName name="LAR">#REF!</definedName>
    <definedName name="Largo" localSheetId="1">#REF!</definedName>
    <definedName name="Largo">#REF!</definedName>
    <definedName name="Lh" localSheetId="1">#REF!</definedName>
    <definedName name="Lh">#REF!</definedName>
    <definedName name="Lp" localSheetId="1">#REF!</definedName>
    <definedName name="Lp">#REF!</definedName>
    <definedName name="NN" localSheetId="1">#REF!</definedName>
    <definedName name="NN">#REF!</definedName>
    <definedName name="Nr" localSheetId="1">#REF!</definedName>
    <definedName name="Nr">#REF!</definedName>
    <definedName name="_xlnm.Print_Titles" localSheetId="3">'Metrado Acero'!$1:$5</definedName>
    <definedName name="_xlnm.Print_Titles" localSheetId="0">'UBS AH'!$2:$24</definedName>
    <definedName name="_xlnm.Print_Titles" localSheetId="2">'UBS TRATAMIENTO'!$2:$19</definedName>
    <definedName name="V" localSheetId="1">[5]Reservorios!$D$151:$D$151</definedName>
    <definedName name="V">[5]Reservorios!$D$151:$D$151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6" i="8" l="1"/>
  <c r="L248" i="1" l="1"/>
  <c r="M249" i="1"/>
  <c r="B26" i="1" l="1"/>
  <c r="B27" i="1" s="1"/>
  <c r="I146" i="1"/>
  <c r="I136" i="1"/>
  <c r="I135" i="1"/>
  <c r="I134" i="1"/>
  <c r="I133" i="1"/>
  <c r="I132" i="1" l="1"/>
  <c r="I121" i="8" l="1"/>
  <c r="I115" i="8"/>
  <c r="J115" i="8" s="1"/>
  <c r="I294" i="1"/>
  <c r="G261" i="8"/>
  <c r="H261" i="8" s="1"/>
  <c r="H260" i="8"/>
  <c r="F260" i="8"/>
  <c r="G259" i="8"/>
  <c r="H259" i="8" s="1"/>
  <c r="G258" i="8"/>
  <c r="H258" i="8" s="1"/>
  <c r="G257" i="8"/>
  <c r="H257" i="8" s="1"/>
  <c r="F256" i="8"/>
  <c r="G255" i="8"/>
  <c r="H255" i="8" s="1"/>
  <c r="F254" i="8"/>
  <c r="G253" i="8"/>
  <c r="H253" i="8" s="1"/>
  <c r="I242" i="8"/>
  <c r="I239" i="8"/>
  <c r="I236" i="8"/>
  <c r="I229" i="8"/>
  <c r="I227" i="8"/>
  <c r="B226" i="8"/>
  <c r="B239" i="8" s="1"/>
  <c r="I224" i="8"/>
  <c r="F223" i="8"/>
  <c r="I223" i="8" s="1"/>
  <c r="B222" i="8"/>
  <c r="B224" i="8" s="1"/>
  <c r="I220" i="8"/>
  <c r="I219" i="8"/>
  <c r="I218" i="8"/>
  <c r="B215" i="8"/>
  <c r="B216" i="8" s="1"/>
  <c r="I211" i="8"/>
  <c r="B209" i="8"/>
  <c r="B210" i="8" s="1"/>
  <c r="B187" i="8"/>
  <c r="B204" i="8" s="1"/>
  <c r="G180" i="8"/>
  <c r="G185" i="8" s="1"/>
  <c r="F180" i="8"/>
  <c r="F185" i="8" s="1"/>
  <c r="G179" i="8"/>
  <c r="G184" i="8" s="1"/>
  <c r="F179" i="8"/>
  <c r="F184" i="8" s="1"/>
  <c r="G178" i="8"/>
  <c r="G183" i="8" s="1"/>
  <c r="F178" i="8"/>
  <c r="I175" i="8"/>
  <c r="I174" i="8"/>
  <c r="I173" i="8"/>
  <c r="B165" i="8"/>
  <c r="B172" i="8" s="1"/>
  <c r="I162" i="8"/>
  <c r="I161" i="8"/>
  <c r="B160" i="8"/>
  <c r="I158" i="8"/>
  <c r="B157" i="8"/>
  <c r="B158" i="8" s="1"/>
  <c r="I155" i="8"/>
  <c r="B154" i="8"/>
  <c r="B155" i="8" s="1"/>
  <c r="I151" i="8"/>
  <c r="I150" i="8"/>
  <c r="I149" i="8"/>
  <c r="I148" i="8"/>
  <c r="I144" i="8"/>
  <c r="I143" i="8"/>
  <c r="I142" i="8"/>
  <c r="B140" i="8"/>
  <c r="B141" i="8" s="1"/>
  <c r="I138" i="8"/>
  <c r="I137" i="8"/>
  <c r="I134" i="8"/>
  <c r="I133" i="8"/>
  <c r="B131" i="8"/>
  <c r="B132" i="8" s="1"/>
  <c r="I129" i="8"/>
  <c r="I127" i="8"/>
  <c r="I126" i="8"/>
  <c r="F119" i="8"/>
  <c r="I119" i="8" s="1"/>
  <c r="H123" i="8" s="1"/>
  <c r="I123" i="8" s="1"/>
  <c r="B118" i="8"/>
  <c r="B129" i="8" s="1"/>
  <c r="I113" i="8"/>
  <c r="J113" i="8" s="1"/>
  <c r="I111" i="8"/>
  <c r="B110" i="8"/>
  <c r="B111" i="8" s="1"/>
  <c r="I107" i="8"/>
  <c r="I106" i="8" s="1"/>
  <c r="B105" i="8"/>
  <c r="B106" i="8" s="1"/>
  <c r="I101" i="8"/>
  <c r="B100" i="8"/>
  <c r="B101" i="8" s="1"/>
  <c r="I98" i="8"/>
  <c r="I97" i="8" s="1"/>
  <c r="B96" i="8"/>
  <c r="B97" i="8" s="1"/>
  <c r="H94" i="8"/>
  <c r="I94" i="8" s="1"/>
  <c r="H93" i="8"/>
  <c r="I93" i="8" s="1"/>
  <c r="I90" i="8"/>
  <c r="I89" i="8"/>
  <c r="I86" i="8"/>
  <c r="I85" i="8"/>
  <c r="B83" i="8"/>
  <c r="B92" i="8" s="1"/>
  <c r="B73" i="8"/>
  <c r="B80" i="8" s="1"/>
  <c r="G68" i="8"/>
  <c r="G71" i="8" s="1"/>
  <c r="G75" i="8" s="1"/>
  <c r="G78" i="8" s="1"/>
  <c r="F68" i="8"/>
  <c r="F71" i="8" s="1"/>
  <c r="I65" i="8"/>
  <c r="I64" i="8" s="1"/>
  <c r="B63" i="8"/>
  <c r="B70" i="8" s="1"/>
  <c r="I60" i="8"/>
  <c r="B59" i="8"/>
  <c r="B60" i="8" s="1"/>
  <c r="I57" i="8"/>
  <c r="I55" i="8"/>
  <c r="B54" i="8"/>
  <c r="B57" i="8" s="1"/>
  <c r="B50" i="8"/>
  <c r="B51" i="8" s="1"/>
  <c r="I45" i="8"/>
  <c r="I44" i="8"/>
  <c r="G40" i="8"/>
  <c r="L37" i="8"/>
  <c r="G34" i="8"/>
  <c r="I34" i="8" s="1"/>
  <c r="G43" i="8" s="1"/>
  <c r="I43" i="8" s="1"/>
  <c r="B31" i="8"/>
  <c r="B42" i="8" s="1"/>
  <c r="G26" i="8"/>
  <c r="G29" i="8" s="1"/>
  <c r="G52" i="8" s="1"/>
  <c r="F26" i="8"/>
  <c r="F29" i="8" s="1"/>
  <c r="I23" i="8"/>
  <c r="I22" i="8" s="1"/>
  <c r="E21" i="8"/>
  <c r="E54" i="8" s="1"/>
  <c r="B21" i="8"/>
  <c r="I42" i="8" l="1"/>
  <c r="J42" i="8" s="1"/>
  <c r="I178" i="8"/>
  <c r="B64" i="8"/>
  <c r="F259" i="8"/>
  <c r="B229" i="8"/>
  <c r="B121" i="8"/>
  <c r="B123" i="8"/>
  <c r="B125" i="8"/>
  <c r="B67" i="8"/>
  <c r="I172" i="8"/>
  <c r="I216" i="8"/>
  <c r="B115" i="8"/>
  <c r="B136" i="8"/>
  <c r="B223" i="8"/>
  <c r="B113" i="8"/>
  <c r="I141" i="8"/>
  <c r="I166" i="8"/>
  <c r="I132" i="8"/>
  <c r="F253" i="8"/>
  <c r="J22" i="8"/>
  <c r="B55" i="8"/>
  <c r="I125" i="8"/>
  <c r="I146" i="8"/>
  <c r="I179" i="8"/>
  <c r="I84" i="8"/>
  <c r="I88" i="8"/>
  <c r="I136" i="8"/>
  <c r="B161" i="8"/>
  <c r="F257" i="8"/>
  <c r="B88" i="8"/>
  <c r="B162" i="8"/>
  <c r="I180" i="8"/>
  <c r="F255" i="8"/>
  <c r="B32" i="8"/>
  <c r="B39" i="8"/>
  <c r="B25" i="8"/>
  <c r="B22" i="8"/>
  <c r="G201" i="8"/>
  <c r="G212" i="8" s="1"/>
  <c r="G196" i="8"/>
  <c r="E59" i="8"/>
  <c r="E63" i="8" s="1"/>
  <c r="E73" i="8" s="1"/>
  <c r="E83" i="8" s="1"/>
  <c r="E96" i="8" s="1"/>
  <c r="E100" i="8" s="1"/>
  <c r="J55" i="8"/>
  <c r="J57" i="8"/>
  <c r="I71" i="8"/>
  <c r="I70" i="8" s="1"/>
  <c r="F75" i="8"/>
  <c r="G200" i="8"/>
  <c r="G195" i="8"/>
  <c r="F202" i="8"/>
  <c r="F197" i="8"/>
  <c r="I185" i="8"/>
  <c r="F52" i="8"/>
  <c r="I52" i="8" s="1"/>
  <c r="I51" i="8" s="1"/>
  <c r="F33" i="8"/>
  <c r="I29" i="8"/>
  <c r="I28" i="8" s="1"/>
  <c r="J28" i="8" s="1"/>
  <c r="B28" i="8"/>
  <c r="I92" i="8"/>
  <c r="I184" i="8"/>
  <c r="F201" i="8"/>
  <c r="F196" i="8"/>
  <c r="G202" i="8"/>
  <c r="G213" i="8" s="1"/>
  <c r="G197" i="8"/>
  <c r="E110" i="8"/>
  <c r="F168" i="8"/>
  <c r="I168" i="8" s="1"/>
  <c r="F170" i="8"/>
  <c r="I170" i="8" s="1"/>
  <c r="F183" i="8"/>
  <c r="B236" i="8"/>
  <c r="B77" i="8"/>
  <c r="B47" i="8"/>
  <c r="I68" i="8"/>
  <c r="I67" i="8" s="1"/>
  <c r="B84" i="8"/>
  <c r="B119" i="8"/>
  <c r="B146" i="8"/>
  <c r="B177" i="8"/>
  <c r="B182" i="8"/>
  <c r="F258" i="8"/>
  <c r="F261" i="8"/>
  <c r="B188" i="8"/>
  <c r="B190" i="8"/>
  <c r="B192" i="8"/>
  <c r="B194" i="8"/>
  <c r="B199" i="8"/>
  <c r="B227" i="8"/>
  <c r="B242" i="8"/>
  <c r="B74" i="8"/>
  <c r="I26" i="8"/>
  <c r="I25" i="8" s="1"/>
  <c r="J25" i="8" s="1"/>
  <c r="E31" i="8"/>
  <c r="E50" i="8" s="1"/>
  <c r="B166" i="8"/>
  <c r="B168" i="8"/>
  <c r="B170" i="8"/>
  <c r="F188" i="8"/>
  <c r="I188" i="8" s="1"/>
  <c r="F190" i="8"/>
  <c r="I190" i="8" s="1"/>
  <c r="F192" i="8"/>
  <c r="I192" i="8" s="1"/>
  <c r="F171" i="1"/>
  <c r="F111" i="1"/>
  <c r="F110" i="1"/>
  <c r="F109" i="1"/>
  <c r="F108" i="1"/>
  <c r="I75" i="1"/>
  <c r="I202" i="1"/>
  <c r="I203" i="1"/>
  <c r="I204" i="1"/>
  <c r="I130" i="1"/>
  <c r="I129" i="1"/>
  <c r="I128" i="1"/>
  <c r="I127" i="1"/>
  <c r="I126" i="1"/>
  <c r="I125" i="1"/>
  <c r="C26" i="1"/>
  <c r="J92" i="8" l="1"/>
  <c r="J84" i="8"/>
  <c r="I196" i="8"/>
  <c r="G206" i="8" s="1"/>
  <c r="I206" i="8" s="1"/>
  <c r="I177" i="8"/>
  <c r="J67" i="8"/>
  <c r="J88" i="8"/>
  <c r="J60" i="8"/>
  <c r="J97" i="8"/>
  <c r="E160" i="8"/>
  <c r="J111" i="8"/>
  <c r="E165" i="8"/>
  <c r="J188" i="8" s="1"/>
  <c r="E157" i="8"/>
  <c r="J158" i="8" s="1"/>
  <c r="E140" i="8"/>
  <c r="E131" i="8"/>
  <c r="E154" i="8"/>
  <c r="J155" i="8" s="1"/>
  <c r="E118" i="8"/>
  <c r="J121" i="8" s="1"/>
  <c r="I201" i="8"/>
  <c r="F212" i="8"/>
  <c r="I212" i="8" s="1"/>
  <c r="F40" i="8"/>
  <c r="I40" i="8" s="1"/>
  <c r="I39" i="8" s="1"/>
  <c r="J39" i="8" s="1"/>
  <c r="I33" i="8"/>
  <c r="I32" i="8" s="1"/>
  <c r="E105" i="8"/>
  <c r="J106" i="8" s="1"/>
  <c r="J101" i="8"/>
  <c r="I183" i="8"/>
  <c r="I182" i="8" s="1"/>
  <c r="F200" i="8"/>
  <c r="I200" i="8" s="1"/>
  <c r="F195" i="8"/>
  <c r="I195" i="8" s="1"/>
  <c r="J51" i="8"/>
  <c r="I197" i="8"/>
  <c r="G207" i="8" s="1"/>
  <c r="I207" i="8" s="1"/>
  <c r="F78" i="8"/>
  <c r="I78" i="8" s="1"/>
  <c r="I77" i="8" s="1"/>
  <c r="J77" i="8" s="1"/>
  <c r="I75" i="8"/>
  <c r="I74" i="8" s="1"/>
  <c r="J64" i="8"/>
  <c r="I202" i="8"/>
  <c r="F213" i="8"/>
  <c r="I213" i="8" s="1"/>
  <c r="J70" i="8"/>
  <c r="F293" i="1"/>
  <c r="I275" i="1"/>
  <c r="I271" i="1"/>
  <c r="I266" i="1"/>
  <c r="I261" i="1"/>
  <c r="I259" i="1"/>
  <c r="I174" i="1"/>
  <c r="I173" i="1" s="1"/>
  <c r="I263" i="1"/>
  <c r="I233" i="1"/>
  <c r="I244" i="1"/>
  <c r="I241" i="1"/>
  <c r="I237" i="1"/>
  <c r="I229" i="1"/>
  <c r="I218" i="1"/>
  <c r="I226" i="1"/>
  <c r="E219" i="1"/>
  <c r="I208" i="1"/>
  <c r="I209" i="1"/>
  <c r="I197" i="1"/>
  <c r="I140" i="1"/>
  <c r="I141" i="1"/>
  <c r="I142" i="1"/>
  <c r="I116" i="1"/>
  <c r="I79" i="1"/>
  <c r="I71" i="1"/>
  <c r="I199" i="8" l="1"/>
  <c r="J199" i="8" s="1"/>
  <c r="J32" i="8"/>
  <c r="G48" i="8"/>
  <c r="I48" i="8" s="1"/>
  <c r="I47" i="8" s="1"/>
  <c r="J47" i="8" s="1"/>
  <c r="J129" i="8"/>
  <c r="J119" i="8"/>
  <c r="J125" i="8"/>
  <c r="J123" i="8"/>
  <c r="J182" i="8"/>
  <c r="J177" i="8"/>
  <c r="J170" i="8"/>
  <c r="J168" i="8"/>
  <c r="J166" i="8"/>
  <c r="J192" i="8"/>
  <c r="J190" i="8"/>
  <c r="J227" i="8"/>
  <c r="J223" i="8"/>
  <c r="E209" i="8"/>
  <c r="J172" i="8"/>
  <c r="I210" i="8"/>
  <c r="J132" i="8"/>
  <c r="J136" i="8"/>
  <c r="G81" i="8"/>
  <c r="I81" i="8" s="1"/>
  <c r="I80" i="8" s="1"/>
  <c r="J80" i="8" s="1"/>
  <c r="J74" i="8"/>
  <c r="I194" i="8"/>
  <c r="J194" i="8" s="1"/>
  <c r="G205" i="8"/>
  <c r="I205" i="8" s="1"/>
  <c r="I204" i="8" s="1"/>
  <c r="J204" i="8" s="1"/>
  <c r="J146" i="8"/>
  <c r="J141" i="8"/>
  <c r="J161" i="8"/>
  <c r="J162" i="8"/>
  <c r="G51" i="1"/>
  <c r="G50" i="1"/>
  <c r="F50" i="1"/>
  <c r="I287" i="1"/>
  <c r="I286" i="1" s="1"/>
  <c r="J210" i="8" l="1"/>
  <c r="E216" i="8"/>
  <c r="M48" i="4"/>
  <c r="M43" i="4"/>
  <c r="M38" i="4"/>
  <c r="M33" i="4"/>
  <c r="P33" i="4" s="1"/>
  <c r="M28" i="4"/>
  <c r="M23" i="4"/>
  <c r="N28" i="4"/>
  <c r="O28" i="4"/>
  <c r="P28" i="4"/>
  <c r="Q28" i="4"/>
  <c r="R28" i="4"/>
  <c r="S28" i="4"/>
  <c r="M18" i="4"/>
  <c r="O18" i="4" s="1"/>
  <c r="M13" i="4"/>
  <c r="P13" i="4" s="1"/>
  <c r="M8" i="4"/>
  <c r="P8" i="4" s="1"/>
  <c r="S48" i="4"/>
  <c r="R48" i="4"/>
  <c r="Q48" i="4"/>
  <c r="P48" i="4"/>
  <c r="N48" i="4"/>
  <c r="O48" i="4"/>
  <c r="S43" i="4"/>
  <c r="R43" i="4"/>
  <c r="Q43" i="4"/>
  <c r="P43" i="4"/>
  <c r="O43" i="4"/>
  <c r="N43" i="4"/>
  <c r="S38" i="4"/>
  <c r="R38" i="4"/>
  <c r="Q38" i="4"/>
  <c r="P38" i="4"/>
  <c r="N38" i="4"/>
  <c r="O38" i="4"/>
  <c r="S33" i="4"/>
  <c r="R33" i="4"/>
  <c r="Q33" i="4"/>
  <c r="N33" i="4"/>
  <c r="O33" i="4"/>
  <c r="S23" i="4"/>
  <c r="R23" i="4"/>
  <c r="Q23" i="4"/>
  <c r="P23" i="4"/>
  <c r="N23" i="4"/>
  <c r="O23" i="4"/>
  <c r="S18" i="4"/>
  <c r="R18" i="4"/>
  <c r="Q18" i="4"/>
  <c r="P18" i="4"/>
  <c r="N18" i="4"/>
  <c r="S13" i="4"/>
  <c r="R13" i="4"/>
  <c r="Q13" i="4"/>
  <c r="O13" i="4"/>
  <c r="N13" i="4"/>
  <c r="S8" i="4"/>
  <c r="R8" i="4"/>
  <c r="Q8" i="4"/>
  <c r="O8" i="4"/>
  <c r="N8" i="4"/>
  <c r="I298" i="1"/>
  <c r="J216" i="8" l="1"/>
  <c r="E222" i="8"/>
  <c r="I111" i="1"/>
  <c r="I110" i="1"/>
  <c r="I109" i="1"/>
  <c r="I108" i="1"/>
  <c r="Q51" i="4"/>
  <c r="Q53" i="4" s="1"/>
  <c r="P51" i="4"/>
  <c r="P53" i="4" s="1"/>
  <c r="R51" i="4"/>
  <c r="R53" i="4" s="1"/>
  <c r="S51" i="4"/>
  <c r="S53" i="4" s="1"/>
  <c r="N51" i="4"/>
  <c r="N53" i="4" s="1"/>
  <c r="O51" i="4"/>
  <c r="O53" i="4" s="1"/>
  <c r="I296" i="1"/>
  <c r="I290" i="1"/>
  <c r="I292" i="1"/>
  <c r="J224" i="8" l="1"/>
  <c r="E226" i="8"/>
  <c r="I107" i="1"/>
  <c r="N54" i="4"/>
  <c r="J229" i="8" l="1"/>
  <c r="J236" i="8"/>
  <c r="J239" i="8"/>
  <c r="J242" i="8"/>
  <c r="I214" i="1"/>
  <c r="I213" i="1"/>
  <c r="I212" i="1"/>
  <c r="I207" i="1"/>
  <c r="I206" i="1"/>
  <c r="I205" i="1"/>
  <c r="I201" i="1"/>
  <c r="I200" i="1"/>
  <c r="I171" i="1"/>
  <c r="I170" i="1" s="1"/>
  <c r="I193" i="1"/>
  <c r="I160" i="1"/>
  <c r="I161" i="1"/>
  <c r="I152" i="1"/>
  <c r="I151" i="1"/>
  <c r="I150" i="1"/>
  <c r="I139" i="1"/>
  <c r="I87" i="1"/>
  <c r="I86" i="1" s="1"/>
  <c r="I84" i="1"/>
  <c r="I83" i="1" s="1"/>
  <c r="I118" i="1"/>
  <c r="I105" i="1"/>
  <c r="I104" i="1"/>
  <c r="I103" i="1"/>
  <c r="I100" i="1"/>
  <c r="I99" i="1"/>
  <c r="I92" i="1"/>
  <c r="I81" i="1"/>
  <c r="I78" i="1"/>
  <c r="I70" i="1"/>
  <c r="I55" i="1"/>
  <c r="I56" i="1"/>
  <c r="I54" i="1"/>
  <c r="I43" i="1"/>
  <c r="G35" i="1"/>
  <c r="G39" i="1" s="1"/>
  <c r="G47" i="1" s="1"/>
  <c r="G34" i="1"/>
  <c r="G38" i="1" s="1"/>
  <c r="F34" i="1"/>
  <c r="F38" i="1" s="1"/>
  <c r="I149" i="1" l="1"/>
  <c r="I199" i="1"/>
  <c r="I211" i="1"/>
  <c r="I196" i="1"/>
  <c r="I138" i="1"/>
  <c r="I124" i="1"/>
  <c r="I98" i="1"/>
  <c r="I53" i="1"/>
  <c r="B216" i="1"/>
  <c r="I188" i="1"/>
  <c r="I168" i="1"/>
  <c r="I167" i="1" s="1"/>
  <c r="B217" i="1" l="1"/>
  <c r="B289" i="1"/>
  <c r="B298" i="1" s="1"/>
  <c r="B265" i="1"/>
  <c r="B286" i="1" s="1"/>
  <c r="B112" i="1"/>
  <c r="I184" i="1"/>
  <c r="B244" i="1" l="1"/>
  <c r="B241" i="1"/>
  <c r="B237" i="1"/>
  <c r="B247" i="1"/>
  <c r="B233" i="1"/>
  <c r="B229" i="1"/>
  <c r="B89" i="1"/>
  <c r="B28" i="1"/>
  <c r="B64" i="1"/>
  <c r="B41" i="1"/>
  <c r="B195" i="1"/>
  <c r="B190" i="1"/>
  <c r="B193" i="1" s="1"/>
  <c r="B186" i="1"/>
  <c r="B176" i="1"/>
  <c r="B154" i="1"/>
  <c r="B148" i="1"/>
  <c r="B120" i="1"/>
  <c r="B113" i="1"/>
  <c r="I183" i="1"/>
  <c r="B132" i="1" l="1"/>
  <c r="B144" i="1"/>
  <c r="B138" i="1"/>
  <c r="B170" i="1"/>
  <c r="B173" i="1"/>
  <c r="B107" i="1"/>
  <c r="B90" i="1"/>
  <c r="B102" i="1"/>
  <c r="B98" i="1"/>
  <c r="B94" i="1"/>
  <c r="B199" i="1"/>
  <c r="B211" i="1"/>
  <c r="B83" i="1"/>
  <c r="B86" i="1"/>
  <c r="B58" i="1"/>
  <c r="B53" i="1"/>
  <c r="B196" i="1"/>
  <c r="I181" i="1"/>
  <c r="I180" i="1" s="1"/>
  <c r="I178" i="1"/>
  <c r="I177" i="1" s="1"/>
  <c r="I72" i="1"/>
  <c r="I69" i="1" s="1"/>
  <c r="E64" i="1"/>
  <c r="E41" i="1"/>
  <c r="J53" i="1" s="1"/>
  <c r="G62" i="1" s="1"/>
  <c r="I62" i="1" s="1"/>
  <c r="I159" i="1"/>
  <c r="I165" i="1"/>
  <c r="I145" i="1"/>
  <c r="I144" i="1" s="1"/>
  <c r="I122" i="1"/>
  <c r="I121" i="1" s="1"/>
  <c r="I91" i="1"/>
  <c r="I95" i="1"/>
  <c r="I96" i="1"/>
  <c r="I51" i="1"/>
  <c r="I47" i="1"/>
  <c r="I39" i="1"/>
  <c r="I38" i="1"/>
  <c r="I35" i="1"/>
  <c r="I34" i="1"/>
  <c r="I158" i="1" l="1"/>
  <c r="I164" i="1" s="1"/>
  <c r="I163" i="1" s="1"/>
  <c r="E89" i="1"/>
  <c r="J86" i="1"/>
  <c r="J83" i="1"/>
  <c r="I94" i="1"/>
  <c r="I102" i="1"/>
  <c r="I37" i="1"/>
  <c r="I33" i="1"/>
  <c r="E113" i="1" l="1"/>
  <c r="E120" i="1" s="1"/>
  <c r="J173" i="1" l="1"/>
  <c r="J132" i="1"/>
  <c r="E148" i="1"/>
  <c r="E154" i="1" s="1"/>
  <c r="J167" i="1" s="1"/>
  <c r="J170" i="1"/>
  <c r="J124" i="1"/>
  <c r="O92" i="6"/>
  <c r="O91" i="6"/>
  <c r="O94" i="6" s="1"/>
  <c r="O95" i="6" s="1"/>
  <c r="O97" i="6" s="1"/>
  <c r="O83" i="6"/>
  <c r="O82" i="6"/>
  <c r="O110" i="2"/>
  <c r="M110" i="2"/>
  <c r="N110" i="2" s="1"/>
  <c r="S106" i="2"/>
  <c r="R106" i="2"/>
  <c r="Q106" i="2"/>
  <c r="P106" i="2"/>
  <c r="O106" i="2"/>
  <c r="M106" i="2"/>
  <c r="N106" i="2" s="1"/>
  <c r="N102" i="2"/>
  <c r="M102" i="2"/>
  <c r="O102" i="2" s="1"/>
  <c r="S96" i="2"/>
  <c r="R96" i="2"/>
  <c r="Q96" i="2"/>
  <c r="P96" i="2"/>
  <c r="N96" i="2"/>
  <c r="M96" i="2"/>
  <c r="O96" i="2" s="1"/>
  <c r="O91" i="2"/>
  <c r="N91" i="2"/>
  <c r="M91" i="2"/>
  <c r="S87" i="2"/>
  <c r="R87" i="2"/>
  <c r="Q87" i="2"/>
  <c r="P87" i="2"/>
  <c r="N87" i="2"/>
  <c r="M87" i="2"/>
  <c r="O87" i="2" s="1"/>
  <c r="O83" i="2"/>
  <c r="N83" i="2"/>
  <c r="M83" i="2"/>
  <c r="S78" i="2"/>
  <c r="R78" i="2"/>
  <c r="R112" i="2" s="1"/>
  <c r="R114" i="2" s="1"/>
  <c r="Q78" i="2"/>
  <c r="P78" i="2"/>
  <c r="O78" i="2"/>
  <c r="N78" i="2"/>
  <c r="M78" i="2"/>
  <c r="S74" i="2"/>
  <c r="R74" i="2"/>
  <c r="Q74" i="2"/>
  <c r="P74" i="2"/>
  <c r="O72" i="2"/>
  <c r="M72" i="2"/>
  <c r="N72" i="2" s="1"/>
  <c r="S66" i="2"/>
  <c r="R66" i="2"/>
  <c r="Q66" i="2"/>
  <c r="P66" i="2"/>
  <c r="N66" i="2"/>
  <c r="M66" i="2"/>
  <c r="O66" i="2" s="1"/>
  <c r="S62" i="2"/>
  <c r="R62" i="2"/>
  <c r="Q62" i="2"/>
  <c r="P62" i="2"/>
  <c r="O61" i="2"/>
  <c r="M61" i="2"/>
  <c r="K61" i="2"/>
  <c r="N61" i="2" s="1"/>
  <c r="S55" i="2"/>
  <c r="R55" i="2"/>
  <c r="Q55" i="2"/>
  <c r="P55" i="2"/>
  <c r="N55" i="2"/>
  <c r="M55" i="2"/>
  <c r="O55" i="2" s="1"/>
  <c r="O51" i="2"/>
  <c r="M51" i="2"/>
  <c r="K51" i="2"/>
  <c r="N51" i="2" s="1"/>
  <c r="S45" i="2"/>
  <c r="R45" i="2"/>
  <c r="Q45" i="2"/>
  <c r="P45" i="2"/>
  <c r="N45" i="2"/>
  <c r="M45" i="2"/>
  <c r="O45" i="2" s="1"/>
  <c r="S41" i="2"/>
  <c r="R41" i="2"/>
  <c r="Q41" i="2"/>
  <c r="P41" i="2"/>
  <c r="O39" i="2"/>
  <c r="M39" i="2"/>
  <c r="S31" i="2"/>
  <c r="R31" i="2"/>
  <c r="Q31" i="2"/>
  <c r="P31" i="2"/>
  <c r="N31" i="2"/>
  <c r="M31" i="2"/>
  <c r="K31" i="2"/>
  <c r="S26" i="2"/>
  <c r="R26" i="2"/>
  <c r="Q26" i="2"/>
  <c r="P26" i="2"/>
  <c r="O23" i="2"/>
  <c r="M23" i="2"/>
  <c r="K23" i="2"/>
  <c r="N23" i="2" s="1"/>
  <c r="S18" i="2"/>
  <c r="R18" i="2"/>
  <c r="Q18" i="2"/>
  <c r="P18" i="2"/>
  <c r="N17" i="2"/>
  <c r="M17" i="2"/>
  <c r="K17" i="2"/>
  <c r="O17" i="2" s="1"/>
  <c r="S13" i="2"/>
  <c r="R13" i="2"/>
  <c r="Q13" i="2"/>
  <c r="P13" i="2"/>
  <c r="N13" i="2"/>
  <c r="M13" i="2"/>
  <c r="O13" i="2" s="1"/>
  <c r="D8" i="2"/>
  <c r="B6" i="2"/>
  <c r="B4" i="2"/>
  <c r="I192" i="1"/>
  <c r="I191" i="1"/>
  <c r="I187" i="1"/>
  <c r="J102" i="1"/>
  <c r="I46" i="1"/>
  <c r="I30" i="1"/>
  <c r="J158" i="1" l="1"/>
  <c r="J163" i="1"/>
  <c r="E176" i="1"/>
  <c r="E190" i="1" s="1"/>
  <c r="J149" i="1"/>
  <c r="O85" i="6"/>
  <c r="O86" i="6" s="1"/>
  <c r="O88" i="6" s="1"/>
  <c r="O31" i="2"/>
  <c r="O112" i="2" s="1"/>
  <c r="O114" i="2" s="1"/>
  <c r="B188" i="1"/>
  <c r="I74" i="1"/>
  <c r="I115" i="1"/>
  <c r="J144" i="1"/>
  <c r="I45" i="1"/>
  <c r="I50" i="1"/>
  <c r="I66" i="1"/>
  <c r="I117" i="1"/>
  <c r="I156" i="1"/>
  <c r="I67" i="1"/>
  <c r="I90" i="1"/>
  <c r="B77" i="1"/>
  <c r="S112" i="2"/>
  <c r="S114" i="2" s="1"/>
  <c r="Q112" i="2"/>
  <c r="Q114" i="2" s="1"/>
  <c r="I80" i="1"/>
  <c r="I77" i="1" s="1"/>
  <c r="P112" i="2"/>
  <c r="P114" i="2" s="1"/>
  <c r="K39" i="2"/>
  <c r="N39" i="2" s="1"/>
  <c r="N112" i="2" s="1"/>
  <c r="N114" i="2" s="1"/>
  <c r="J180" i="1" l="1"/>
  <c r="J177" i="1"/>
  <c r="J183" i="1"/>
  <c r="E186" i="1"/>
  <c r="J188" i="1" s="1"/>
  <c r="J191" i="1"/>
  <c r="J193" i="1"/>
  <c r="I114" i="1"/>
  <c r="J114" i="1" s="1"/>
  <c r="I42" i="1"/>
  <c r="J42" i="1" s="1"/>
  <c r="J192" i="1"/>
  <c r="B167" i="1"/>
  <c r="B271" i="1"/>
  <c r="B266" i="1"/>
  <c r="B275" i="1"/>
  <c r="B218" i="1"/>
  <c r="N115" i="2"/>
  <c r="B183" i="1"/>
  <c r="B180" i="1"/>
  <c r="J138" i="1"/>
  <c r="B163" i="1"/>
  <c r="B158" i="1"/>
  <c r="B124" i="1"/>
  <c r="B121" i="1"/>
  <c r="J74" i="1"/>
  <c r="B49" i="1"/>
  <c r="I49" i="1"/>
  <c r="J49" i="1" s="1"/>
  <c r="B149" i="1"/>
  <c r="I65" i="1"/>
  <c r="J65" i="1" s="1"/>
  <c r="J69" i="1"/>
  <c r="J121" i="1"/>
  <c r="B114" i="1"/>
  <c r="B29" i="1"/>
  <c r="B37" i="1"/>
  <c r="B33" i="1"/>
  <c r="J107" i="1"/>
  <c r="B155" i="1"/>
  <c r="B42" i="1"/>
  <c r="I31" i="1"/>
  <c r="I29" i="1" s="1"/>
  <c r="I155" i="1"/>
  <c r="J155" i="1" s="1"/>
  <c r="B65" i="1"/>
  <c r="B69" i="1"/>
  <c r="B74" i="1"/>
  <c r="B177" i="1"/>
  <c r="J77" i="1"/>
  <c r="B192" i="1"/>
  <c r="B191" i="1"/>
  <c r="B187" i="1"/>
  <c r="J187" i="1" l="1"/>
  <c r="E195" i="1"/>
  <c r="J199" i="1"/>
  <c r="J94" i="1"/>
  <c r="G61" i="1"/>
  <c r="I61" i="1" s="1"/>
  <c r="G60" i="1"/>
  <c r="I60" i="1" s="1"/>
  <c r="J33" i="1"/>
  <c r="J37" i="1"/>
  <c r="J29" i="1"/>
  <c r="B8" i="2"/>
  <c r="J211" i="1" l="1"/>
  <c r="J196" i="1"/>
  <c r="E216" i="1"/>
  <c r="J247" i="1" s="1"/>
  <c r="I58" i="1"/>
  <c r="J237" i="1"/>
  <c r="J98" i="1"/>
  <c r="J90" i="1"/>
  <c r="J241" i="1" l="1"/>
  <c r="J218" i="1"/>
  <c r="J244" i="1"/>
  <c r="E258" i="1"/>
  <c r="J259" i="1" s="1"/>
  <c r="J229" i="1"/>
  <c r="J233" i="1"/>
  <c r="J226" i="1"/>
  <c r="J271" i="1"/>
  <c r="J58" i="1"/>
  <c r="B258" i="1"/>
  <c r="B292" i="1"/>
  <c r="B226" i="1"/>
  <c r="J266" i="1" l="1"/>
  <c r="J275" i="1"/>
  <c r="J261" i="1"/>
  <c r="J263" i="1"/>
  <c r="E265" i="1"/>
  <c r="E289" i="1" s="1"/>
  <c r="J298" i="1" s="1"/>
  <c r="B263" i="1"/>
  <c r="B261" i="1"/>
  <c r="B259" i="1"/>
  <c r="B290" i="1"/>
  <c r="B294" i="1"/>
  <c r="B296" i="1"/>
  <c r="J286" i="1" l="1"/>
  <c r="J294" i="1"/>
  <c r="J296" i="1"/>
  <c r="J290" i="1"/>
  <c r="J292" i="1"/>
</calcChain>
</file>

<file path=xl/sharedStrings.xml><?xml version="1.0" encoding="utf-8"?>
<sst xmlns="http://schemas.openxmlformats.org/spreadsheetml/2006/main" count="943" uniqueCount="396">
  <si>
    <t>PLANILLA DE METRADOS DE SANEAMIENTO</t>
  </si>
  <si>
    <t>PARTIDA</t>
  </si>
  <si>
    <t>DESCRIPCION</t>
  </si>
  <si>
    <t>UNID.</t>
  </si>
  <si>
    <t>VECES</t>
  </si>
  <si>
    <t>LONG.</t>
  </si>
  <si>
    <t>ANCHO</t>
  </si>
  <si>
    <t>ALTURA</t>
  </si>
  <si>
    <t>SUB-TOTAL</t>
  </si>
  <si>
    <t>TOTAL</t>
  </si>
  <si>
    <t>CANTIDAD</t>
  </si>
  <si>
    <t>SISTEMA DE SANEAMIENTO</t>
  </si>
  <si>
    <t>Vereda</t>
  </si>
  <si>
    <t>TRABAJOS PRELIMINARES</t>
  </si>
  <si>
    <t>m2</t>
  </si>
  <si>
    <t>Caseta UBS</t>
  </si>
  <si>
    <t>TRAZO Y REPLANTEO INICIAL EN ESTRUCTURAS DE CASETA</t>
  </si>
  <si>
    <t>Zapata</t>
  </si>
  <si>
    <t>TRAZO Y REPLANTEO DURANTE PROCESO EN ESTRUCTURAS DE CASETA</t>
  </si>
  <si>
    <t>MOVIMIENTO DE TIERRAS</t>
  </si>
  <si>
    <t>EXCAVACION MANUAL EN TERRENO NORMAL</t>
  </si>
  <si>
    <t>m3</t>
  </si>
  <si>
    <t>Excavación manual de zanjas para cimientos corridos</t>
  </si>
  <si>
    <t>Escalera</t>
  </si>
  <si>
    <t>ACARREO Y ELIMINACION DE MAT. EXCEDENTE Dmax=30 m</t>
  </si>
  <si>
    <t>OBRAS DE CONCRETO SIMPLE</t>
  </si>
  <si>
    <t>CONCRETO EN CIMIENTOS C:H 1:10+30% PG</t>
  </si>
  <si>
    <t>CONCRETO EN SOBRECIMIENTOS C:H 1:8+25% PM</t>
  </si>
  <si>
    <t xml:space="preserve">SOLADO f'c=100 kg/cm2, e=10 cm </t>
  </si>
  <si>
    <t>m</t>
  </si>
  <si>
    <t>OBRAS DE CONCRETO ARMADO</t>
  </si>
  <si>
    <t>Columnas</t>
  </si>
  <si>
    <t>Tapa de compostera</t>
  </si>
  <si>
    <t>ACERO CORRUGADO f'y=4200 kg/cm2 G-60 EN CASETA DE UBS</t>
  </si>
  <si>
    <t>kg</t>
  </si>
  <si>
    <t>und</t>
  </si>
  <si>
    <t>MUROS Y TABIQUES DE ALBAÑILERÍA</t>
  </si>
  <si>
    <t>REVOQUES Y ENLUCIDOS</t>
  </si>
  <si>
    <t>COBERTURAS</t>
  </si>
  <si>
    <t xml:space="preserve"> COBERTURA METALICA DE CALAMINA ALUZINC TR4 E=0.40MM</t>
  </si>
  <si>
    <t>CARPINTERÍA METALICA</t>
  </si>
  <si>
    <t>CERRAJERÍA</t>
  </si>
  <si>
    <t>CERROJO DE FIERRO DE 2" PARA PUERTA DE UBS</t>
  </si>
  <si>
    <t>BISAGRA PARA PUERTA DE 3"x3"</t>
  </si>
  <si>
    <t>INSTALACIONES SANITARIAS</t>
  </si>
  <si>
    <t>APARATOS Y ACCESORIOS SANITARIOS</t>
  </si>
  <si>
    <t>HOJA DE METRADOS DE SANEAMIENTO</t>
  </si>
  <si>
    <t>CASETA UBS</t>
  </si>
  <si>
    <t>ELEMENTO</t>
  </si>
  <si>
    <t>Ø (Pulg.)</t>
  </si>
  <si>
    <t>N° DE  ELEMENTOS</t>
  </si>
  <si>
    <t>LONG. DEL ELEMENTO (m)</t>
  </si>
  <si>
    <t>LONGITUD (m)</t>
  </si>
  <si>
    <r>
      <rPr>
        <b/>
        <sz val="10"/>
        <color theme="1"/>
        <rFont val="Arial Narrow"/>
        <family val="2"/>
      </rPr>
      <t>1/4</t>
    </r>
    <r>
      <rPr>
        <b/>
        <sz val="10"/>
        <color rgb="FF000000"/>
        <rFont val="Arial Narrow"/>
        <family val="2"/>
      </rPr>
      <t>"</t>
    </r>
  </si>
  <si>
    <r>
      <rPr>
        <b/>
        <sz val="10"/>
        <color theme="1"/>
        <rFont val="Arial Narrow"/>
        <family val="2"/>
      </rPr>
      <t>3/8</t>
    </r>
    <r>
      <rPr>
        <b/>
        <sz val="10"/>
        <color rgb="FF000000"/>
        <rFont val="Arial Narrow"/>
        <family val="2"/>
      </rPr>
      <t>"</t>
    </r>
  </si>
  <si>
    <t>1/2"</t>
  </si>
  <si>
    <t>5/8"</t>
  </si>
  <si>
    <t>3/4"</t>
  </si>
  <si>
    <t>1"</t>
  </si>
  <si>
    <t>Longitudinal</t>
  </si>
  <si>
    <t>3/8"</t>
  </si>
  <si>
    <t>Transversal</t>
  </si>
  <si>
    <t>Estribos</t>
  </si>
  <si>
    <t>1/4"</t>
  </si>
  <si>
    <t>Vertical</t>
  </si>
  <si>
    <t>Vigas V-1</t>
  </si>
  <si>
    <t>Horizontal</t>
  </si>
  <si>
    <t>Vigas V-2</t>
  </si>
  <si>
    <t>Vigas V-3</t>
  </si>
  <si>
    <t>Losa compostera superior</t>
  </si>
  <si>
    <t>Losa compostera inferior</t>
  </si>
  <si>
    <t>SUB TOTAL (m)</t>
  </si>
  <si>
    <t xml:space="preserve">PESO POR DIAMETRO VARILLA (kg/m) </t>
  </si>
  <si>
    <t>SUB TOTAL (kg)</t>
  </si>
  <si>
    <t>TOTAL (kg)</t>
  </si>
  <si>
    <t>CASETA</t>
  </si>
  <si>
    <t>VIGAS</t>
  </si>
  <si>
    <t>MEJORAMIENTO Y AMPLIACIÓN DEL SERVICIO DE AGUA POTABLE E INSTALACIÓN DEL SERVICIO DE DISPOSICIÓN SANITARIA DE EXCRETAS EN EL CENTRO POBLADO JOSÉ GÁLVEZ, DISTRITO DE MAZAMARI - SATIPO - JUNÍN.”</t>
  </si>
  <si>
    <t>ESTRUCTURAS: Metrado Auxiliar de Acero</t>
  </si>
  <si>
    <t>UBS-BAÑOS DIGNOS</t>
  </si>
  <si>
    <t>N° de
Partida</t>
  </si>
  <si>
    <t>Descripción del
elemento estructural</t>
  </si>
  <si>
    <t>Diseño de Acero
en el elemento estructural</t>
  </si>
  <si>
    <t>Diámetro
de varilla</t>
  </si>
  <si>
    <t>Longitud por
diseño
(Inc. Traslape)</t>
  </si>
  <si>
    <t>Repeticiones
del diseño</t>
  </si>
  <si>
    <t>Cant. elem.
estructurales</t>
  </si>
  <si>
    <t>LONGITUD POR DIAMETRO DE VARILLA EN METROS LINEALES</t>
  </si>
  <si>
    <t>1/4</t>
  </si>
  <si>
    <t>3/8</t>
  </si>
  <si>
    <t>1/2</t>
  </si>
  <si>
    <t>5/8</t>
  </si>
  <si>
    <t>3/4</t>
  </si>
  <si>
    <t>1</t>
  </si>
  <si>
    <t>02.02.04.01.03</t>
  </si>
  <si>
    <t xml:space="preserve">ACERO CORRUGADO fy=4200 kg/cm2 GRADO 60 </t>
  </si>
  <si>
    <t/>
  </si>
  <si>
    <t>Peso en kilogramos por metro lineal</t>
  </si>
  <si>
    <t>Longitud total por diámetro, en metros lineales</t>
  </si>
  <si>
    <t>Total en kilogramos por diámetro</t>
  </si>
  <si>
    <t>Nº Varillas</t>
  </si>
  <si>
    <t>Total en kilogramos</t>
  </si>
  <si>
    <t>02.02.04.02.03</t>
  </si>
  <si>
    <t>Eje A - A: Longitudinal</t>
  </si>
  <si>
    <t>estribos</t>
  </si>
  <si>
    <t>Eje C - C: Longitudinal</t>
  </si>
  <si>
    <t>02.02.04.03.03</t>
  </si>
  <si>
    <t>Eje 1 - 1: Longitudinal</t>
  </si>
  <si>
    <t>Eje 3 - 3: Longitudinal</t>
  </si>
  <si>
    <t>02.02.04.04.03</t>
  </si>
  <si>
    <t>02.02.04.05.03</t>
  </si>
  <si>
    <t>02.02.04.06.03</t>
  </si>
  <si>
    <t>Longitudinal base anclaje</t>
  </si>
  <si>
    <t>02.02.04.07.03</t>
  </si>
  <si>
    <t>0.1.01.05.04.03</t>
  </si>
  <si>
    <t>LMAYOR</t>
  </si>
  <si>
    <t>CC-01 (0.40 x 0.50)- EJE 1-1 Y EJE 2-2</t>
  </si>
  <si>
    <t>Vol.= vol. Excavacion de terreno suelto 85%</t>
  </si>
  <si>
    <t>Vol.= vol. Excavacion de boloneria 15%</t>
  </si>
  <si>
    <t>vol.</t>
  </si>
  <si>
    <t>F.Espjm</t>
  </si>
  <si>
    <t>area</t>
  </si>
  <si>
    <t>ENCOFRADO Y DESENCOFRADO EN COLUMNAS</t>
  </si>
  <si>
    <t>ENCOFRADO Y DESENCOFRADO EN VIGAS</t>
  </si>
  <si>
    <t>perim</t>
  </si>
  <si>
    <t>ZOCALOS Y CONTRAZOCALOS</t>
  </si>
  <si>
    <t>PINTURA</t>
  </si>
  <si>
    <t>PISO Y PAVIMENTO</t>
  </si>
  <si>
    <t>INSTALACIONES ELECTRICAS</t>
  </si>
  <si>
    <t xml:space="preserve">SUMINISTRO E INSTALACIÓN DE CABLE 2.5 MM2 THW </t>
  </si>
  <si>
    <t>ml</t>
  </si>
  <si>
    <t>SUMINISTRO E INSTALACIÓN DE TUBERIA PVC-P DE Ø 20 mm</t>
  </si>
  <si>
    <t xml:space="preserve">Correa metalica transversal </t>
  </si>
  <si>
    <t>NIVELACION INTERIOR Y APISONADO (MANUAL)</t>
  </si>
  <si>
    <t>ENCOFRADO Y DESENCOFRADO PARA SOBRECIMIENTOS</t>
  </si>
  <si>
    <t xml:space="preserve">CONCRETO f'c=175 kg/cm2 EN VIGAS </t>
  </si>
  <si>
    <t>BRUÑAS DE 1 x 1 CM</t>
  </si>
  <si>
    <t>SUMINISTRO E INSTALACIÓN DE INTERRUPTOR SIMPLE</t>
  </si>
  <si>
    <t>ESTRUCTURAS</t>
  </si>
  <si>
    <t>SISTEMA DE DESAGUE</t>
  </si>
  <si>
    <t>SISTEMA DE AGUA FRIA</t>
  </si>
  <si>
    <t>Techo de aluzinc</t>
  </si>
  <si>
    <t>R.R. de bronce 02"</t>
  </si>
  <si>
    <t>codo PVC 90°x 02"</t>
  </si>
  <si>
    <t>SUMIN. E INST. SALIDA PVC P/LAVATORIO  Ø1/2"</t>
  </si>
  <si>
    <t>SUMIN. E INST. SALIDA PVC P/INODORO Ø1/2"</t>
  </si>
  <si>
    <t>SUMIN. E INST. DE GRIFO PARA LAVADERO</t>
  </si>
  <si>
    <t>SUMIN. E INST. DE INODORO TANQUE BAJO BLANCO</t>
  </si>
  <si>
    <t xml:space="preserve">SUMINISTRO E INST. DE SALIDA PVC P/LAVADERO MULTIUSO Ø2" </t>
  </si>
  <si>
    <t>SUMINISTRO E INST. DE SALIDA PVC P/LAVAMANOS Ø2"</t>
  </si>
  <si>
    <t>SUMINISTRO E INST. DE SALIDA PVC P/RR Ø2"</t>
  </si>
  <si>
    <t>SUMINISTRO E INST. DE SALIDA PVC P/SUMIDERO Ø2"</t>
  </si>
  <si>
    <t>ENCOFRADO Y DESENCOFRADO  PARA VEREDAS</t>
  </si>
  <si>
    <t xml:space="preserve">CONCRETO F'C=175 KG/CM2 PARA VEREDA, E=0.10 M </t>
  </si>
  <si>
    <t>SALIDA DE TUBERIA DE VENTILACION PVC SAL 2"</t>
  </si>
  <si>
    <t>LIMPIEZA  DE TERRENO MANUAL</t>
  </si>
  <si>
    <t>JUNTAS CON TEKNOPORT DE E=1"</t>
  </si>
  <si>
    <t>02</t>
  </si>
  <si>
    <t>Piso de la caseta</t>
  </si>
  <si>
    <t>ARQUITECTURA</t>
  </si>
  <si>
    <t>Piso de la Caseta UBS</t>
  </si>
  <si>
    <t>Vol rellenado</t>
  </si>
  <si>
    <t>CONCRETO f'c=175 kg/cm2 EN COLUMNAS</t>
  </si>
  <si>
    <t>Vigas rectas</t>
  </si>
  <si>
    <t>Vigas inclinadas</t>
  </si>
  <si>
    <t>CONCRETO f'c=175 kg/cm2 EN FALSA COLUMNA</t>
  </si>
  <si>
    <t>Falsa columna</t>
  </si>
  <si>
    <t>ENCOFRADO Y DESENCOFRADO PARA FALSA COLUMNA</t>
  </si>
  <si>
    <t>TARRAJEO DE MUROS INTERIORES C/IMPERMEABILIZANTE Y CEMENTO PULIDO C:A=1:5, e =1.5 cm.</t>
  </si>
  <si>
    <t>perimetro</t>
  </si>
  <si>
    <t>TARRAJEO INTERIOR DE MURO CEMENTO FROTACHADO C:A=1:5, e =1.5 cm.</t>
  </si>
  <si>
    <t>CONTRAZOCALO EXTERIOR  C/CEMENTO PULIDO C:A 1:4, e=1.50cm</t>
  </si>
  <si>
    <t>Contrazocalos laterales</t>
  </si>
  <si>
    <t>Contrazocalo frontal</t>
  </si>
  <si>
    <t>Contrazocalo posterior</t>
  </si>
  <si>
    <t>CONCRETO F'C=175 KG/CM2 PARA PISO E=0.10 M ACABADO Y PULIDO COLOREADO</t>
  </si>
  <si>
    <t xml:space="preserve">area </t>
  </si>
  <si>
    <t>en borde de caseta - vereda</t>
  </si>
  <si>
    <t>Tubo de acero rectangular viga principal</t>
  </si>
  <si>
    <t xml:space="preserve">PUERTA METALICA (0.80m x 2.15m), CON MARCO METALICO </t>
  </si>
  <si>
    <t>VENTANA METALICA V-1 (0.50x0.80m) CON VIDRIO 6MM</t>
  </si>
  <si>
    <t>SUMINISTRO E INSTALACION DE ANGULO DE 2X2cm CON PERNOS DE 1/4"x4"</t>
  </si>
  <si>
    <t>En vereda</t>
  </si>
  <si>
    <t>PINTURA LATEX EN INTERIORES C/IMPERMEABILIZANTE (DOS MANOS)</t>
  </si>
  <si>
    <t>PINTURA LATEX EN EXTERIORES (DOS MANOS)</t>
  </si>
  <si>
    <t>tuberia PVC Ø 2"</t>
  </si>
  <si>
    <t>codo PVC Ø 2"x90°</t>
  </si>
  <si>
    <t>sombrero de ventilacion PVC Ø 2"</t>
  </si>
  <si>
    <t>abrazadera metálica de 2" con pernos Ø 1/2"</t>
  </si>
  <si>
    <t>Codo pvc 90°x 02"</t>
  </si>
  <si>
    <t>Alambre #16</t>
  </si>
  <si>
    <t>sumidero de bronce  Ø2"</t>
  </si>
  <si>
    <t>Codo 90°xØ2" para trampa</t>
  </si>
  <si>
    <t>SUMINISTRO E INST. DE SALIDA PVC P/INODORO Ø4"</t>
  </si>
  <si>
    <t xml:space="preserve">SUMINISTRO E INST. DE TUBERIA Y ACCESORIOS DE Ø4" Y Ø2" </t>
  </si>
  <si>
    <t>Tuberia de PVC NTP 399.003 clase liviana Ø 2"</t>
  </si>
  <si>
    <t>Tuberia de PVC NTP 399.003 clase liviana Ø 4"</t>
  </si>
  <si>
    <t xml:space="preserve">Yee de Ø2" PVC clase liviana </t>
  </si>
  <si>
    <t>tubo de abasto de Ø1/2"</t>
  </si>
  <si>
    <t>tuberia PVC NTP 399.002 C-10 Ø=1/2"</t>
  </si>
  <si>
    <t>valvula de paso tipo bola 1/2"</t>
  </si>
  <si>
    <t>SUMINISTRO E INSTALACION DE TABLERO ELECTRICO (INC. CAJAS Y ACCESORIOS)</t>
  </si>
  <si>
    <t>Caja de adosable para interruptor termomagnetico 30x20cm</t>
  </si>
  <si>
    <t>Interruptor termomagnetico de 2x16A</t>
  </si>
  <si>
    <t>SALIDA DE TECHO PARA CENTRO DE LUZ</t>
  </si>
  <si>
    <t>ZAPATAS Y COLUMNAS</t>
  </si>
  <si>
    <t>Columnas - Acero Vertical</t>
  </si>
  <si>
    <t>PLANILLA DE METRADOS DEL SISTEMA DE SANEAMIENTO</t>
  </si>
  <si>
    <t>PLANILLA DE METRADO ACERO</t>
  </si>
  <si>
    <t>Acero Vertical frontal - Columna frontal</t>
  </si>
  <si>
    <t>Acero Vertical frontal - Columna posterior</t>
  </si>
  <si>
    <t>Estribos de Columnas frontal</t>
  </si>
  <si>
    <t>Estribos de Columnas posterior</t>
  </si>
  <si>
    <t>Eje 1-1, 2-2(A-B)- Acero Horizontal</t>
  </si>
  <si>
    <t>Estribo 1-1, 2-2 (A-B)- Acero Vertical</t>
  </si>
  <si>
    <t>pesoxkg</t>
  </si>
  <si>
    <t>Area</t>
  </si>
  <si>
    <t>LIMPIEZA Y DESBROCE  DE TERRENO MANUAL</t>
  </si>
  <si>
    <t>TRAZO Y REPLANTEO PRELIMINAR PARA ESTRUCTURAS</t>
  </si>
  <si>
    <t>TRAZO Y REPLANTEO DURANTE EL PROCESO PARA ESTRUCTURAS</t>
  </si>
  <si>
    <t>REFINE Y COMPACTACION DE FONDOS</t>
  </si>
  <si>
    <t>RELLENO CON GRAVA GRUESA DE 2"</t>
  </si>
  <si>
    <t>RELLENO CON GRAVA GRUESA DE 1/2"</t>
  </si>
  <si>
    <t>ELIMINACION DE DESMONTE DE TERRENO NORMAL D=500 M</t>
  </si>
  <si>
    <t>CONCRETO f'c=175 kg/cm2 EN MUROS</t>
  </si>
  <si>
    <t>ENCOFRADO Y DESENCOFRADO EN MUROS</t>
  </si>
  <si>
    <t>ACERO CORRUGADO f'y=4200 kg/cm2 G-60</t>
  </si>
  <si>
    <t>Ø</t>
  </si>
  <si>
    <t>NºVarillas</t>
  </si>
  <si>
    <t>Long.</t>
  </si>
  <si>
    <t>kg/m</t>
  </si>
  <si>
    <t>SUMINISTRO E INSTALACION DE TUBERIAS</t>
  </si>
  <si>
    <t>SUMINISTRO E INSTALACION DE TUBERÍA DE PVC SAL Ø 4"</t>
  </si>
  <si>
    <t>EXCAVACION MANUAL DE ZANJA P/TUB. T-NORMAL PROF. HASTA 0.60M</t>
  </si>
  <si>
    <t>REFINE Y NIVELACION DE ZANJAS T. NORMAL P/TUBERIA</t>
  </si>
  <si>
    <t>RELLENO COMPACTADO CON MATERIAL PROPIO SELECCIONADO</t>
  </si>
  <si>
    <t>CARACTERISTICAS DE ACERO CORRUGADO</t>
  </si>
  <si>
    <t>Diametro</t>
  </si>
  <si>
    <t>Area (cm2)</t>
  </si>
  <si>
    <t>Diametro (cm)</t>
  </si>
  <si>
    <t>Perimetro (cm)</t>
  </si>
  <si>
    <t>Peso (kg/m)</t>
  </si>
  <si>
    <t>Pulg.</t>
  </si>
  <si>
    <t>mm</t>
  </si>
  <si>
    <t>-</t>
  </si>
  <si>
    <t>fac. de esp.</t>
  </si>
  <si>
    <t>muro lateral</t>
  </si>
  <si>
    <t>muro frontral y posterior</t>
  </si>
  <si>
    <t>interior</t>
  </si>
  <si>
    <t>exterior</t>
  </si>
  <si>
    <t>caja</t>
  </si>
  <si>
    <t>muro interior</t>
  </si>
  <si>
    <t>base interior</t>
  </si>
  <si>
    <t>Acero vertical muro</t>
  </si>
  <si>
    <t>Acero horizontal muro</t>
  </si>
  <si>
    <t>base inferior de tapa</t>
  </si>
  <si>
    <t>SUMINISTRO E INSTALACION DE TUBERÍA DE PVC SAL Ø 2"</t>
  </si>
  <si>
    <t>SUMINISTRO E INSTALACION DE BIODIGESTOR</t>
  </si>
  <si>
    <t>SUMINISTRO E INSTALACION DE ACCESORIOS</t>
  </si>
  <si>
    <t>SUMINISTRO E INSTALACION DE VÁLVULAS Y ACCESORIO DE Ø 2"</t>
  </si>
  <si>
    <t>Valvula tipo bola de Ø2"</t>
  </si>
  <si>
    <t>Adaptador UPR PVC de Ø2"</t>
  </si>
  <si>
    <t>Unión universal PVC de Ø2"</t>
  </si>
  <si>
    <t>Niple PVC SAP de Ø2"</t>
  </si>
  <si>
    <t>Tuberia PVC Ø2"</t>
  </si>
  <si>
    <t>CARPINTERIA METÁLICA</t>
  </si>
  <si>
    <t>SUMINISTRO E INST. DE TAPA METALICA DE 0.60 x 0.60 m e=1/8" INC. ACCESORIO + PINTURA</t>
  </si>
  <si>
    <t>CAJA DE REGISTRO DE LODOS (0.80 x 0.80 m)</t>
  </si>
  <si>
    <t>TARRAJEO INTERIOR IMPERMEABILIZANTE C:A 1:2, e=1.5 cm</t>
  </si>
  <si>
    <t>Adaptador Rosca PVC de Ø2"</t>
  </si>
  <si>
    <t>OBRAS EXTERIORES</t>
  </si>
  <si>
    <t>TRAZO Y REPLANTEO PRELIMINAR EN LINEAS Y REDES</t>
  </si>
  <si>
    <t>TRAZO Y REPLANTEO DURANTE EL PROCESO EN LINEAS Y REDES</t>
  </si>
  <si>
    <t>PRUEBA HIDRAULICA Y DESINFECCIÓN DE LA TUBERIA</t>
  </si>
  <si>
    <r>
      <t xml:space="preserve">SUMINISTRO E INSTALACION DE CODO PVC SP </t>
    </r>
    <r>
      <rPr>
        <sz val="11"/>
        <rFont val="Arial Narrow"/>
        <family val="2"/>
      </rPr>
      <t>ø</t>
    </r>
    <r>
      <rPr>
        <sz val="9"/>
        <rFont val="Arial Narrow"/>
        <family val="2"/>
      </rPr>
      <t>2"x45°</t>
    </r>
  </si>
  <si>
    <t>CC-01 (0.40 x 0.50)-EJE A-A, EJE B-B, EJE C-C Y EJE D-D</t>
  </si>
  <si>
    <t>CC-01 (0.40 x 0.50)-EJE A-A, B-B, C-C Y D-D</t>
  </si>
  <si>
    <t>CC-01 (0.40 x 0.50)- EJE 1-1 Y 2-2</t>
  </si>
  <si>
    <t>ENTRE EJE A-A, B-B, C-C Y D-D</t>
  </si>
  <si>
    <t>ENTRE EJE 1-1</t>
  </si>
  <si>
    <t>ENTRE EJE 2-2</t>
  </si>
  <si>
    <t>Columnas frontales</t>
  </si>
  <si>
    <t>Columnas posteriores</t>
  </si>
  <si>
    <t>Muros EJE 1-1, ENTRE EJE A A EJE D</t>
  </si>
  <si>
    <t>Muros EJE A-A, ENTRE EJE 1 A EJE 2</t>
  </si>
  <si>
    <t>Muros EJE 2-2, ENTRE EJE A A EJE D</t>
  </si>
  <si>
    <t>Descuento de ventana</t>
  </si>
  <si>
    <t>Interior de ss.hh. niños, niñas y profesores</t>
  </si>
  <si>
    <t>Muro interior laterales</t>
  </si>
  <si>
    <t>Muro interior frontal</t>
  </si>
  <si>
    <t>Derrames de ventana</t>
  </si>
  <si>
    <t>TARRAJEO EN COLUMNAS Y VIGAS / ACABADO FR0TACHADO E=1.5CM</t>
  </si>
  <si>
    <t>Vigas frontales y posteriores</t>
  </si>
  <si>
    <t>Vigas laterales</t>
  </si>
  <si>
    <t>Interior</t>
  </si>
  <si>
    <t>tee PVC Ø 2"</t>
  </si>
  <si>
    <t>SUMINISTRO E INST. DE SALIDA PVC P/RR Ø4"</t>
  </si>
  <si>
    <t>Codo pvc 90°x 04"</t>
  </si>
  <si>
    <t>R.R. de bronce 04"</t>
  </si>
  <si>
    <t xml:space="preserve">Yee de Ø4"xØ2" PVC clase liviana </t>
  </si>
  <si>
    <t>Tee de Ø2" PVC</t>
  </si>
  <si>
    <t>Tee de Ø4" PVC</t>
  </si>
  <si>
    <t>Codo PVC de Ø4"x90°</t>
  </si>
  <si>
    <t>Codo PVC de Ø2"x90°</t>
  </si>
  <si>
    <t>Codo PVC de Ø2"x45°</t>
  </si>
  <si>
    <t>JUNTA ASFALTICA EN VEREDAS E=1"</t>
  </si>
  <si>
    <t>Caja de policarbonato emp.p/valvula de 40x25cm</t>
  </si>
  <si>
    <t>union universal con rosca PVC Ø1/2" C-10</t>
  </si>
  <si>
    <t>tee PVC Ø1/2"</t>
  </si>
  <si>
    <t>codo de 90° F°G° con rosca Ø1/2"</t>
  </si>
  <si>
    <t>codo 90° PVC 01/2" C-10</t>
  </si>
  <si>
    <t>adaptador UPR PVC 01/2" C-10</t>
  </si>
  <si>
    <t>niple con rosca PVC 01/2"x2"</t>
  </si>
  <si>
    <t>adaptador de PVC Ø1/2"</t>
  </si>
  <si>
    <t>TUBO DE 4</t>
  </si>
  <si>
    <t>TUBO DE 2</t>
  </si>
  <si>
    <t>Eje A-A, B-B, C-C, D-D (1-2)- Acero Horizontal</t>
  </si>
  <si>
    <t>Estribo A-A, B-B, C-C, D-D (1-2)- Acero Vertical</t>
  </si>
  <si>
    <t>UBS - AH PARA I.E. PRIMARIA</t>
  </si>
  <si>
    <t>Muro interior posterior</t>
  </si>
  <si>
    <t>Codo pvc desague 4"</t>
  </si>
  <si>
    <t>RELLENO CON MATERIAL PROPIO SELECCIONADO</t>
  </si>
  <si>
    <t>SUMINISTRO E INST. DE TUBERIA Y ACCESORIOS DE RED INTERNA AGUA</t>
  </si>
  <si>
    <t>VIGA DE TUBO RECTANGULAR METALICO 2"X3"X10´</t>
  </si>
  <si>
    <t>CORREAS DE TUBO CUADRANGULAR METALICO DE 2"x2"x10´</t>
  </si>
  <si>
    <t xml:space="preserve">SOLADO f'c=100 kg/cm2, e=5 cm </t>
  </si>
  <si>
    <t>SUMINISTRO E INSTALACION DE TUBERÍA DE BIODIGESTOR Y ACCESORIOS (1300L)</t>
  </si>
  <si>
    <t>En base de columnas</t>
  </si>
  <si>
    <t>Aceros vertical columna</t>
  </si>
  <si>
    <t>Estribos de columnas</t>
  </si>
  <si>
    <t>Acero horizontal en viga</t>
  </si>
  <si>
    <t>Estribos de las vigas</t>
  </si>
  <si>
    <t>PINTURA ESMALTE EN EXTERIORES DE CONTRAZOCALOS</t>
  </si>
  <si>
    <t>Solado</t>
  </si>
  <si>
    <t>Volumen cono truncado V = (1/3) * π * h * (r² + r * R + R²)</t>
  </si>
  <si>
    <t>Volumen</t>
  </si>
  <si>
    <t>r</t>
  </si>
  <si>
    <t>R</t>
  </si>
  <si>
    <t>h</t>
  </si>
  <si>
    <t>Volumen excavado</t>
  </si>
  <si>
    <t>Area=</t>
  </si>
  <si>
    <t>LIMPIEZA Y DESBROCE  DE TERRENO MANUAL PARA ESTRUCTURAS</t>
  </si>
  <si>
    <t>Caja de registro 0.40x0.70m</t>
  </si>
  <si>
    <t>Tampa de natas y sólidos 0.50x0.80m</t>
  </si>
  <si>
    <t>Caja de válvulas 0.60x0.60m</t>
  </si>
  <si>
    <t>TARRAJEO INTERIOR CON IMPERMEABILIZANTE MEZCLA C:A 1:2, e=1.5 cm</t>
  </si>
  <si>
    <t>SUMINISTRO E INSTALACION DE CAJA DE REGISTRO PREFABRICADO 0.40x0.70m</t>
  </si>
  <si>
    <t>Caja de registro prefabricado 0.40x0.70m</t>
  </si>
  <si>
    <t>SUMINISTRO E INSTALACION DE TRAMPA DE NATAS Y SÓLIDOS PREFABRICADO 0.50x0.80m</t>
  </si>
  <si>
    <t>Tampa de natas y sólidos prefabricado 0.50x0.80m</t>
  </si>
  <si>
    <t>SUMINISTRO E INSTALACION DE CAJA DE VÁLVULAS PREFABRICADO 0.60x0.60m</t>
  </si>
  <si>
    <t>Caja de válvulas prefabricado 0.60x0.60m</t>
  </si>
  <si>
    <t>"CREACION DEL SERVICIO DE AGUA POTABLE RURAL Y CREACION DEL SERVICIO DE ALCANTARILLADO U OTRAS FORMAS DE DISPOSICION SANITARIA DE EXCRETAS EN EL SECTOR NUEVA ESPERANZA DE LA CC.NN. BAJO PITUCUNA DISTRITO DE RIO NEGRO, PROVINCIA DE SATIPO, DEPARTAMENTO DE JUNIN"</t>
  </si>
  <si>
    <t>LIMPIEZA DE TERRENO MANUAL</t>
  </si>
  <si>
    <t>Volumen del biodigestor</t>
  </si>
  <si>
    <t>Volumen de la losa</t>
  </si>
  <si>
    <t>POZO DE ABSORCION - DISPOSICION FINAL</t>
  </si>
  <si>
    <t>Esponjamiento 20%</t>
  </si>
  <si>
    <t>area mayor</t>
  </si>
  <si>
    <t>area menor</t>
  </si>
  <si>
    <t>Anillo cimentación interno</t>
  </si>
  <si>
    <t>Anillo cimentación externo</t>
  </si>
  <si>
    <t>º</t>
  </si>
  <si>
    <t>areas</t>
  </si>
  <si>
    <t>Losa superior exterior</t>
  </si>
  <si>
    <t>Losa superior interior</t>
  </si>
  <si>
    <t>Tapa</t>
  </si>
  <si>
    <t>Losa superior horizontal</t>
  </si>
  <si>
    <t>Losa superior vertical</t>
  </si>
  <si>
    <t>Losa superior transversal</t>
  </si>
  <si>
    <t>Tapa horizontal</t>
  </si>
  <si>
    <t>Tapa vertical</t>
  </si>
  <si>
    <t>ALBAÑILERÍA</t>
  </si>
  <si>
    <t xml:space="preserve">MURO DE LADRILLO KK ARTESANAL DE CABEZA, C:A 1:4, e=1.50cm / PARA POZO PERCOLADOR e=5cm
</t>
  </si>
  <si>
    <t>CARPINTERIA METALICA</t>
  </si>
  <si>
    <t>ASA DE FIERRO CORRUGADO  Ø 3/8"</t>
  </si>
  <si>
    <t>Und</t>
  </si>
  <si>
    <t>UBS - ARRASTRE HIDRAULICO PARA I.E. PRIMARIA</t>
  </si>
  <si>
    <t>02.03.05</t>
  </si>
  <si>
    <t>SUMINISTRO E INSTALACION DE LAVATORIO TIPO FONTANA DE LOSA VITRIFICADA INC. ACCESORIOS</t>
  </si>
  <si>
    <t>BIODIGESTOR DE 1300 LTS PARA I.E. PRIMARIA</t>
  </si>
  <si>
    <t>CONCRETO f'c=175 kg/cm2 EN ANILLO DE CIMENTACION</t>
  </si>
  <si>
    <t>ENCOFRADO Y DESENCOFRADO EN ANILLO DE CIMENTACION</t>
  </si>
  <si>
    <t>CONCRETO f'c=175 kg/cm2 EN LOSA SUPERIOR</t>
  </si>
  <si>
    <t xml:space="preserve">MURO DE LADRILLO KK 18 HUECOS DE SOGA, C:A 1:4, e=1.50 cm </t>
  </si>
  <si>
    <t>TARRAJEO EXTERIOR DE MURO MEZCLA C:A=1:4, e =1.5 cm.</t>
  </si>
  <si>
    <t>02.03.02</t>
  </si>
  <si>
    <t>02.03.03</t>
  </si>
  <si>
    <t>ELIMINACION DE DESMONTE DE TERRENO NORMAL D=50 M</t>
  </si>
  <si>
    <t>02.03.04</t>
  </si>
  <si>
    <t>Muro exterior laterales</t>
  </si>
  <si>
    <t>Muro exterior frontal</t>
  </si>
  <si>
    <t>Muro exterior posterior</t>
  </si>
  <si>
    <t xml:space="preserve">ACARREO Y ELIMINACION DE DMATERIAL EXCEDENTE </t>
  </si>
  <si>
    <t xml:space="preserve">SUMINISTRO E INSTALACION DE TEE  SANITARIA DE Ø 2" PVC SAL </t>
  </si>
  <si>
    <t>SUMINISTRO E INSTALACION DE YEE SANITARIA DE  2" PVC SAL  CLASE LIVIANA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</si>
</sst>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_)"/>
    <numFmt numFmtId="165" formatCode="#,##0.000"/>
    <numFmt numFmtId="166" formatCode="00.00.00.00.00.00.00"/>
    <numFmt numFmtId="167" formatCode="_-* #,##0.00_-;\-* #,##0.00_-;_-* &quot;-&quot;??_-;_-@"/>
    <numFmt numFmtId="168" formatCode="0.00_ ;\-0.00\ "/>
    <numFmt numFmtId="169" formatCode="0.00;[Red]0.00"/>
    <numFmt numFmtId="170" formatCode="_-* #,##0.00\ _€_-;\-* #,##0.00\ _€_-;_-* &quot;-&quot;??\ _€_-;_-@"/>
    <numFmt numFmtId="171" formatCode="_(* #,##0.00_);_(* \(#,##0.00\);_(* &quot;-&quot;??_);_(@_)"/>
    <numFmt numFmtId="172" formatCode="#,##0.0"/>
    <numFmt numFmtId="173" formatCode="#\ ?/?&quot; '' &quot;"/>
    <numFmt numFmtId="174" formatCode="0.000"/>
    <numFmt numFmtId="175" formatCode="0.0"/>
  </numFmts>
  <fonts count="60" x14ac:knownFonts="1">
    <font>
      <sz val="8"/>
      <color rgb="FF000000"/>
      <name val="Arial"/>
      <scheme val="minor"/>
    </font>
    <font>
      <sz val="11"/>
      <color theme="1"/>
      <name val="Arial"/>
      <family val="2"/>
      <scheme val="minor"/>
    </font>
    <font>
      <sz val="9"/>
      <color theme="1"/>
      <name val="Arial Narrow"/>
      <family val="2"/>
    </font>
    <font>
      <b/>
      <sz val="11"/>
      <color theme="0"/>
      <name val="Arial Black"/>
      <family val="2"/>
    </font>
    <font>
      <sz val="8"/>
      <name val="Arial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0000"/>
      <name val="Arial Narrow"/>
      <family val="2"/>
    </font>
    <font>
      <sz val="10"/>
      <color theme="1"/>
      <name val="Arial Narrow"/>
      <family val="2"/>
    </font>
    <font>
      <sz val="8"/>
      <color rgb="FFFF0000"/>
      <name val="Arial Narrow"/>
      <family val="2"/>
    </font>
    <font>
      <b/>
      <sz val="11"/>
      <color theme="1"/>
      <name val="Arial Black"/>
      <family val="2"/>
    </font>
    <font>
      <sz val="8"/>
      <color theme="1"/>
      <name val="Arial Narrow"/>
      <family val="2"/>
    </font>
    <font>
      <sz val="12"/>
      <color rgb="FFFF0000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u/>
      <sz val="10"/>
      <color theme="1"/>
      <name val="Arial Narrow"/>
      <family val="2"/>
    </font>
    <font>
      <sz val="8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0"/>
      <color rgb="FFE36C09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C000"/>
      <name val="Arial Narrow"/>
      <family val="2"/>
    </font>
    <font>
      <b/>
      <sz val="8"/>
      <color rgb="FF000000"/>
      <name val="Arial"/>
      <family val="2"/>
      <scheme val="minor"/>
    </font>
    <font>
      <sz val="9"/>
      <name val="Arial Narrow"/>
      <family val="2"/>
    </font>
    <font>
      <sz val="9"/>
      <color rgb="FFFF0000"/>
      <name val="Arial Narrow"/>
      <family val="2"/>
    </font>
    <font>
      <b/>
      <sz val="11"/>
      <color theme="0"/>
      <name val="Arial Narrow"/>
      <family val="2"/>
    </font>
    <font>
      <sz val="8"/>
      <name val="Arial Narrow"/>
      <family val="2"/>
    </font>
    <font>
      <sz val="8"/>
      <color rgb="FF000000"/>
      <name val="Arial Narrow"/>
      <family val="2"/>
    </font>
    <font>
      <b/>
      <sz val="9"/>
      <color theme="0"/>
      <name val="Arial Narrow"/>
      <family val="2"/>
    </font>
    <font>
      <sz val="8"/>
      <color indexed="72"/>
      <name val="Arial Narrow"/>
      <family val="2"/>
    </font>
    <font>
      <sz val="10"/>
      <name val="Arial Narrow"/>
      <family val="2"/>
    </font>
    <font>
      <b/>
      <sz val="8"/>
      <color rgb="FF000000"/>
      <name val="Arial Narrow"/>
      <family val="2"/>
    </font>
    <font>
      <sz val="10"/>
      <color indexed="72"/>
      <name val="Arial Narrow"/>
      <family val="2"/>
    </font>
    <font>
      <sz val="12"/>
      <name val="Helv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9"/>
      <color indexed="72"/>
      <name val="Arial Narrow"/>
      <family val="2"/>
    </font>
    <font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2060"/>
      <name val="Arial Narrow"/>
      <family val="2"/>
    </font>
    <font>
      <sz val="9"/>
      <color theme="1"/>
      <name val="Arial"/>
      <family val="2"/>
    </font>
    <font>
      <b/>
      <sz val="10"/>
      <color theme="0"/>
      <name val="Arial Black"/>
      <family val="2"/>
    </font>
    <font>
      <b/>
      <sz val="9"/>
      <color rgb="FF00B050"/>
      <name val="Arial Narrow"/>
      <family val="2"/>
    </font>
    <font>
      <b/>
      <sz val="9"/>
      <color theme="4" tint="-0.499984740745262"/>
      <name val="Arial Narrow"/>
      <family val="2"/>
    </font>
    <font>
      <b/>
      <sz val="9"/>
      <name val="Arial Narrow"/>
      <family val="2"/>
    </font>
    <font>
      <sz val="11"/>
      <name val="Arial Narrow"/>
      <family val="2"/>
    </font>
    <font>
      <sz val="8"/>
      <color rgb="FF000000"/>
      <name val="Arial"/>
      <family val="2"/>
      <scheme val="minor"/>
    </font>
    <font>
      <sz val="9"/>
      <color rgb="FF00B050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BE5F1"/>
        <bgColor rgb="FFDBE5F1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C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6D9F0"/>
      </patternFill>
    </fill>
  </fills>
  <borders count="1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43" fillId="0" borderId="44"/>
    <xf numFmtId="0" fontId="48" fillId="0" borderId="44"/>
    <xf numFmtId="0" fontId="1" fillId="0" borderId="44"/>
    <xf numFmtId="0" fontId="1" fillId="0" borderId="44"/>
    <xf numFmtId="0" fontId="4" fillId="0" borderId="44"/>
    <xf numFmtId="0" fontId="58" fillId="0" borderId="44"/>
  </cellStyleXfs>
  <cellXfs count="55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7" borderId="4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2" fillId="0" borderId="0" xfId="0" applyNumberFormat="1" applyFont="1"/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wrapText="1"/>
    </xf>
    <xf numFmtId="0" fontId="7" fillId="0" borderId="0" xfId="0" applyFont="1"/>
    <xf numFmtId="0" fontId="1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4" fontId="5" fillId="0" borderId="0" xfId="0" applyNumberFormat="1" applyFont="1"/>
    <xf numFmtId="4" fontId="5" fillId="0" borderId="0" xfId="0" applyNumberFormat="1" applyFont="1" applyAlignment="1">
      <alignment horizontal="left"/>
    </xf>
    <xf numFmtId="0" fontId="6" fillId="3" borderId="27" xfId="0" applyFont="1" applyFill="1" applyBorder="1" applyAlignment="1">
      <alignment horizontal="center" vertical="center"/>
    </xf>
    <xf numFmtId="4" fontId="8" fillId="0" borderId="48" xfId="0" applyNumberFormat="1" applyFont="1" applyBorder="1" applyAlignment="1">
      <alignment horizontal="center" vertical="center"/>
    </xf>
    <xf numFmtId="4" fontId="8" fillId="0" borderId="49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8" fillId="0" borderId="25" xfId="0" applyNumberFormat="1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" fontId="8" fillId="0" borderId="17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4" fontId="8" fillId="0" borderId="3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4" fontId="8" fillId="0" borderId="0" xfId="0" applyNumberFormat="1" applyFont="1" applyAlignment="1">
      <alignment vertical="center"/>
    </xf>
    <xf numFmtId="165" fontId="8" fillId="0" borderId="2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4" fontId="8" fillId="5" borderId="56" xfId="0" applyNumberFormat="1" applyFont="1" applyFill="1" applyBorder="1" applyAlignment="1">
      <alignment horizontal="center" vertical="center"/>
    </xf>
    <xf numFmtId="4" fontId="8" fillId="5" borderId="57" xfId="0" applyNumberFormat="1" applyFont="1" applyFill="1" applyBorder="1" applyAlignment="1">
      <alignment horizontal="center" vertical="center"/>
    </xf>
    <xf numFmtId="4" fontId="8" fillId="5" borderId="60" xfId="0" applyNumberFormat="1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/>
    </xf>
    <xf numFmtId="4" fontId="8" fillId="5" borderId="63" xfId="0" applyNumberFormat="1" applyFont="1" applyFill="1" applyBorder="1" applyAlignment="1">
      <alignment horizontal="center" vertical="center"/>
    </xf>
    <xf numFmtId="3" fontId="8" fillId="5" borderId="50" xfId="0" applyNumberFormat="1" applyFont="1" applyFill="1" applyBorder="1" applyAlignment="1">
      <alignment horizontal="center" vertical="center"/>
    </xf>
    <xf numFmtId="4" fontId="8" fillId="5" borderId="5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5" borderId="4" xfId="0" applyFont="1" applyFill="1" applyBorder="1"/>
    <xf numFmtId="0" fontId="19" fillId="0" borderId="0" xfId="0" applyFont="1"/>
    <xf numFmtId="0" fontId="20" fillId="5" borderId="4" xfId="0" applyFont="1" applyFill="1" applyBorder="1"/>
    <xf numFmtId="0" fontId="18" fillId="5" borderId="4" xfId="0" applyFont="1" applyFill="1" applyBorder="1" applyAlignment="1">
      <alignment horizontal="right"/>
    </xf>
    <xf numFmtId="0" fontId="20" fillId="5" borderId="4" xfId="0" applyFont="1" applyFill="1" applyBorder="1" applyAlignment="1">
      <alignment horizontal="center"/>
    </xf>
    <xf numFmtId="0" fontId="20" fillId="9" borderId="20" xfId="0" applyFont="1" applyFill="1" applyBorder="1" applyAlignment="1">
      <alignment horizontal="center" vertical="center" wrapText="1"/>
    </xf>
    <xf numFmtId="0" fontId="20" fillId="9" borderId="21" xfId="0" applyFont="1" applyFill="1" applyBorder="1" applyAlignment="1">
      <alignment horizontal="center" vertical="center" wrapText="1"/>
    </xf>
    <xf numFmtId="166" fontId="21" fillId="5" borderId="75" xfId="0" applyNumberFormat="1" applyFont="1" applyFill="1" applyBorder="1" applyAlignment="1">
      <alignment horizontal="left" vertical="center"/>
    </xf>
    <xf numFmtId="0" fontId="21" fillId="5" borderId="60" xfId="0" applyFont="1" applyFill="1" applyBorder="1"/>
    <xf numFmtId="0" fontId="21" fillId="5" borderId="4" xfId="0" applyFont="1" applyFill="1" applyBorder="1"/>
    <xf numFmtId="16" fontId="22" fillId="5" borderId="76" xfId="0" applyNumberFormat="1" applyFont="1" applyFill="1" applyBorder="1" applyAlignment="1">
      <alignment horizontal="center"/>
    </xf>
    <xf numFmtId="167" fontId="22" fillId="5" borderId="76" xfId="0" applyNumberFormat="1" applyFont="1" applyFill="1" applyBorder="1"/>
    <xf numFmtId="0" fontId="21" fillId="5" borderId="77" xfId="0" applyFont="1" applyFill="1" applyBorder="1"/>
    <xf numFmtId="0" fontId="22" fillId="5" borderId="78" xfId="0" applyFont="1" applyFill="1" applyBorder="1"/>
    <xf numFmtId="167" fontId="22" fillId="5" borderId="79" xfId="0" applyNumberFormat="1" applyFont="1" applyFill="1" applyBorder="1"/>
    <xf numFmtId="168" fontId="22" fillId="5" borderId="80" xfId="0" applyNumberFormat="1" applyFont="1" applyFill="1" applyBorder="1" applyAlignment="1">
      <alignment horizontal="center"/>
    </xf>
    <xf numFmtId="167" fontId="22" fillId="5" borderId="80" xfId="0" applyNumberFormat="1" applyFont="1" applyFill="1" applyBorder="1"/>
    <xf numFmtId="167" fontId="22" fillId="5" borderId="80" xfId="0" applyNumberFormat="1" applyFont="1" applyFill="1" applyBorder="1" applyAlignment="1">
      <alignment horizontal="center"/>
    </xf>
    <xf numFmtId="167" fontId="22" fillId="5" borderId="81" xfId="0" applyNumberFormat="1" applyFont="1" applyFill="1" applyBorder="1"/>
    <xf numFmtId="0" fontId="22" fillId="5" borderId="67" xfId="0" applyFont="1" applyFill="1" applyBorder="1"/>
    <xf numFmtId="0" fontId="21" fillId="5" borderId="82" xfId="0" applyFont="1" applyFill="1" applyBorder="1"/>
    <xf numFmtId="0" fontId="22" fillId="5" borderId="4" xfId="0" applyFont="1" applyFill="1" applyBorder="1"/>
    <xf numFmtId="0" fontId="22" fillId="5" borderId="76" xfId="0" applyFont="1" applyFill="1" applyBorder="1"/>
    <xf numFmtId="167" fontId="22" fillId="5" borderId="83" xfId="0" applyNumberFormat="1" applyFont="1" applyFill="1" applyBorder="1"/>
    <xf numFmtId="167" fontId="22" fillId="5" borderId="84" xfId="0" applyNumberFormat="1" applyFont="1" applyFill="1" applyBorder="1"/>
    <xf numFmtId="167" fontId="22" fillId="5" borderId="84" xfId="0" applyNumberFormat="1" applyFont="1" applyFill="1" applyBorder="1" applyAlignment="1">
      <alignment horizontal="center"/>
    </xf>
    <xf numFmtId="167" fontId="22" fillId="5" borderId="85" xfId="0" applyNumberFormat="1" applyFont="1" applyFill="1" applyBorder="1" applyAlignment="1">
      <alignment horizontal="center"/>
    </xf>
    <xf numFmtId="0" fontId="22" fillId="5" borderId="82" xfId="0" applyFont="1" applyFill="1" applyBorder="1" applyAlignment="1">
      <alignment horizontal="right"/>
    </xf>
    <xf numFmtId="0" fontId="22" fillId="5" borderId="86" xfId="0" applyFont="1" applyFill="1" applyBorder="1"/>
    <xf numFmtId="167" fontId="22" fillId="5" borderId="4" xfId="0" applyNumberFormat="1" applyFont="1" applyFill="1" applyBorder="1" applyAlignment="1">
      <alignment horizontal="center"/>
    </xf>
    <xf numFmtId="16" fontId="22" fillId="5" borderId="76" xfId="0" quotePrefix="1" applyNumberFormat="1" applyFont="1" applyFill="1" applyBorder="1" applyAlignment="1">
      <alignment horizontal="center"/>
    </xf>
    <xf numFmtId="169" fontId="22" fillId="5" borderId="76" xfId="0" applyNumberFormat="1" applyFont="1" applyFill="1" applyBorder="1" applyAlignment="1">
      <alignment horizontal="center"/>
    </xf>
    <xf numFmtId="168" fontId="22" fillId="5" borderId="76" xfId="0" applyNumberFormat="1" applyFont="1" applyFill="1" applyBorder="1" applyAlignment="1">
      <alignment horizontal="center"/>
    </xf>
    <xf numFmtId="168" fontId="22" fillId="5" borderId="78" xfId="0" applyNumberFormat="1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/>
    </xf>
    <xf numFmtId="0" fontId="22" fillId="5" borderId="31" xfId="0" applyFont="1" applyFill="1" applyBorder="1"/>
    <xf numFmtId="168" fontId="22" fillId="5" borderId="27" xfId="0" applyNumberFormat="1" applyFont="1" applyFill="1" applyBorder="1" applyAlignment="1">
      <alignment horizontal="center"/>
    </xf>
    <xf numFmtId="168" fontId="22" fillId="5" borderId="87" xfId="0" applyNumberFormat="1" applyFont="1" applyFill="1" applyBorder="1" applyAlignment="1">
      <alignment horizontal="center"/>
    </xf>
    <xf numFmtId="167" fontId="22" fillId="5" borderId="27" xfId="0" applyNumberFormat="1" applyFont="1" applyFill="1" applyBorder="1" applyAlignment="1">
      <alignment horizontal="right"/>
    </xf>
    <xf numFmtId="167" fontId="22" fillId="5" borderId="87" xfId="0" applyNumberFormat="1" applyFont="1" applyFill="1" applyBorder="1" applyAlignment="1">
      <alignment horizontal="right"/>
    </xf>
    <xf numFmtId="170" fontId="16" fillId="0" borderId="0" xfId="0" applyNumberFormat="1" applyFont="1" applyAlignment="1">
      <alignment vertical="center"/>
    </xf>
    <xf numFmtId="0" fontId="21" fillId="5" borderId="89" xfId="0" applyFont="1" applyFill="1" applyBorder="1"/>
    <xf numFmtId="0" fontId="22" fillId="5" borderId="60" xfId="0" applyFont="1" applyFill="1" applyBorder="1" applyAlignment="1">
      <alignment horizontal="right"/>
    </xf>
    <xf numFmtId="169" fontId="22" fillId="5" borderId="4" xfId="0" applyNumberFormat="1" applyFont="1" applyFill="1" applyBorder="1" applyAlignment="1">
      <alignment horizontal="center"/>
    </xf>
    <xf numFmtId="168" fontId="22" fillId="5" borderId="4" xfId="0" applyNumberFormat="1" applyFont="1" applyFill="1" applyBorder="1" applyAlignment="1">
      <alignment horizontal="center"/>
    </xf>
    <xf numFmtId="168" fontId="22" fillId="5" borderId="59" xfId="0" applyNumberFormat="1" applyFont="1" applyFill="1" applyBorder="1" applyAlignment="1">
      <alignment horizontal="center"/>
    </xf>
    <xf numFmtId="167" fontId="22" fillId="5" borderId="4" xfId="0" applyNumberFormat="1" applyFont="1" applyFill="1" applyBorder="1"/>
    <xf numFmtId="167" fontId="22" fillId="5" borderId="33" xfId="0" applyNumberFormat="1" applyFont="1" applyFill="1" applyBorder="1" applyAlignment="1">
      <alignment horizontal="center"/>
    </xf>
    <xf numFmtId="16" fontId="22" fillId="5" borderId="4" xfId="0" applyNumberFormat="1" applyFont="1" applyFill="1" applyBorder="1" applyAlignment="1">
      <alignment horizontal="center"/>
    </xf>
    <xf numFmtId="0" fontId="21" fillId="5" borderId="95" xfId="0" applyFont="1" applyFill="1" applyBorder="1" applyAlignment="1">
      <alignment horizontal="center"/>
    </xf>
    <xf numFmtId="167" fontId="22" fillId="5" borderId="96" xfId="0" applyNumberFormat="1" applyFont="1" applyFill="1" applyBorder="1"/>
    <xf numFmtId="0" fontId="21" fillId="5" borderId="97" xfId="0" applyFont="1" applyFill="1" applyBorder="1"/>
    <xf numFmtId="0" fontId="21" fillId="5" borderId="53" xfId="0" applyFont="1" applyFill="1" applyBorder="1"/>
    <xf numFmtId="0" fontId="21" fillId="5" borderId="98" xfId="0" applyFont="1" applyFill="1" applyBorder="1"/>
    <xf numFmtId="167" fontId="22" fillId="5" borderId="99" xfId="0" applyNumberFormat="1" applyFont="1" applyFill="1" applyBorder="1"/>
    <xf numFmtId="168" fontId="22" fillId="5" borderId="100" xfId="0" applyNumberFormat="1" applyFont="1" applyFill="1" applyBorder="1" applyAlignment="1">
      <alignment horizontal="center"/>
    </xf>
    <xf numFmtId="167" fontId="22" fillId="5" borderId="100" xfId="0" applyNumberFormat="1" applyFont="1" applyFill="1" applyBorder="1"/>
    <xf numFmtId="167" fontId="22" fillId="5" borderId="100" xfId="0" applyNumberFormat="1" applyFont="1" applyFill="1" applyBorder="1" applyAlignment="1">
      <alignment horizontal="center"/>
    </xf>
    <xf numFmtId="167" fontId="22" fillId="5" borderId="101" xfId="0" applyNumberFormat="1" applyFont="1" applyFill="1" applyBorder="1"/>
    <xf numFmtId="0" fontId="22" fillId="5" borderId="77" xfId="0" applyFont="1" applyFill="1" applyBorder="1" applyAlignment="1">
      <alignment horizontal="right"/>
    </xf>
    <xf numFmtId="0" fontId="22" fillId="5" borderId="89" xfId="0" applyFont="1" applyFill="1" applyBorder="1"/>
    <xf numFmtId="0" fontId="23" fillId="0" borderId="102" xfId="0" applyFont="1" applyBorder="1" applyAlignment="1">
      <alignment horizontal="center" vertical="center"/>
    </xf>
    <xf numFmtId="171" fontId="24" fillId="5" borderId="4" xfId="0" applyNumberFormat="1" applyFont="1" applyFill="1" applyBorder="1"/>
    <xf numFmtId="171" fontId="20" fillId="5" borderId="4" xfId="0" applyNumberFormat="1" applyFont="1" applyFill="1" applyBorder="1"/>
    <xf numFmtId="171" fontId="25" fillId="5" borderId="4" xfId="0" applyNumberFormat="1" applyFont="1" applyFill="1" applyBorder="1"/>
    <xf numFmtId="0" fontId="2" fillId="7" borderId="44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2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2" fillId="12" borderId="4" xfId="0" applyFont="1" applyFill="1" applyBorder="1" applyAlignment="1">
      <alignment vertical="center"/>
    </xf>
    <xf numFmtId="0" fontId="2" fillId="12" borderId="44" xfId="0" applyFont="1" applyFill="1" applyBorder="1" applyAlignment="1">
      <alignment vertical="center"/>
    </xf>
    <xf numFmtId="4" fontId="28" fillId="0" borderId="104" xfId="0" applyNumberFormat="1" applyFont="1" applyBorder="1" applyAlignment="1">
      <alignment horizontal="center" vertical="center"/>
    </xf>
    <xf numFmtId="4" fontId="28" fillId="0" borderId="60" xfId="0" applyNumberFormat="1" applyFont="1" applyBorder="1" applyAlignment="1">
      <alignment horizontal="right" vertical="center"/>
    </xf>
    <xf numFmtId="164" fontId="28" fillId="0" borderId="104" xfId="0" applyNumberFormat="1" applyFont="1" applyBorder="1" applyAlignment="1">
      <alignment horizontal="center" vertical="center"/>
    </xf>
    <xf numFmtId="1" fontId="30" fillId="0" borderId="104" xfId="0" applyNumberFormat="1" applyFont="1" applyBorder="1" applyAlignment="1">
      <alignment horizontal="center" vertical="center"/>
    </xf>
    <xf numFmtId="3" fontId="28" fillId="0" borderId="104" xfId="0" applyNumberFormat="1" applyFont="1" applyBorder="1" applyAlignment="1">
      <alignment horizontal="center" vertical="center"/>
    </xf>
    <xf numFmtId="0" fontId="28" fillId="0" borderId="104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2" fontId="30" fillId="0" borderId="104" xfId="0" applyNumberFormat="1" applyFont="1" applyBorder="1" applyAlignment="1">
      <alignment horizontal="center" vertical="center"/>
    </xf>
    <xf numFmtId="0" fontId="28" fillId="0" borderId="103" xfId="0" applyFont="1" applyBorder="1" applyAlignment="1">
      <alignment horizontal="center" vertical="center"/>
    </xf>
    <xf numFmtId="4" fontId="28" fillId="0" borderId="104" xfId="0" applyNumberFormat="1" applyFont="1" applyBorder="1" applyAlignment="1">
      <alignment horizontal="right" vertical="center"/>
    </xf>
    <xf numFmtId="4" fontId="8" fillId="5" borderId="44" xfId="0" applyNumberFormat="1" applyFont="1" applyFill="1" applyBorder="1" applyAlignment="1">
      <alignment vertical="center"/>
    </xf>
    <xf numFmtId="16" fontId="8" fillId="5" borderId="6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2" fillId="6" borderId="44" xfId="0" applyFont="1" applyFill="1" applyBorder="1" applyAlignment="1">
      <alignment vertical="center"/>
    </xf>
    <xf numFmtId="4" fontId="33" fillId="0" borderId="104" xfId="0" applyNumberFormat="1" applyFont="1" applyBorder="1" applyAlignment="1">
      <alignment horizontal="right" vertical="center" wrapText="1"/>
    </xf>
    <xf numFmtId="4" fontId="33" fillId="0" borderId="104" xfId="0" applyNumberFormat="1" applyFont="1" applyBorder="1" applyAlignment="1">
      <alignment horizontal="right" wrapText="1"/>
    </xf>
    <xf numFmtId="4" fontId="33" fillId="0" borderId="104" xfId="0" applyNumberFormat="1" applyFont="1" applyBorder="1" applyAlignment="1">
      <alignment horizontal="right" vertical="center"/>
    </xf>
    <xf numFmtId="4" fontId="30" fillId="0" borderId="104" xfId="0" applyNumberFormat="1" applyFont="1" applyBorder="1" applyAlignment="1">
      <alignment horizontal="center" vertical="center"/>
    </xf>
    <xf numFmtId="1" fontId="29" fillId="0" borderId="104" xfId="0" applyNumberFormat="1" applyFont="1" applyBorder="1" applyAlignment="1">
      <alignment horizontal="center" vertical="center"/>
    </xf>
    <xf numFmtId="0" fontId="28" fillId="0" borderId="105" xfId="0" applyFont="1" applyBorder="1" applyAlignment="1">
      <alignment horizontal="center" vertical="center"/>
    </xf>
    <xf numFmtId="0" fontId="30" fillId="6" borderId="4" xfId="0" applyFont="1" applyFill="1" applyBorder="1" applyAlignment="1">
      <alignment vertical="center"/>
    </xf>
    <xf numFmtId="0" fontId="30" fillId="0" borderId="104" xfId="0" applyFont="1" applyBorder="1" applyAlignment="1">
      <alignment horizontal="center" vertical="center"/>
    </xf>
    <xf numFmtId="2" fontId="30" fillId="0" borderId="33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33" xfId="0" applyFont="1" applyBorder="1" applyAlignment="1">
      <alignment horizontal="center" vertical="center"/>
    </xf>
    <xf numFmtId="0" fontId="31" fillId="0" borderId="106" xfId="0" applyFont="1" applyBorder="1" applyAlignment="1">
      <alignment vertical="center"/>
    </xf>
    <xf numFmtId="0" fontId="28" fillId="0" borderId="106" xfId="0" applyFont="1" applyBorder="1" applyAlignment="1">
      <alignment vertical="center"/>
    </xf>
    <xf numFmtId="2" fontId="34" fillId="0" borderId="106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2" fontId="28" fillId="0" borderId="107" xfId="0" applyNumberFormat="1" applyFont="1" applyBorder="1" applyAlignment="1">
      <alignment vertical="center"/>
    </xf>
    <xf numFmtId="0" fontId="28" fillId="0" borderId="10" xfId="0" applyFont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8" fillId="0" borderId="108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30" fillId="0" borderId="106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30" fillId="0" borderId="6" xfId="0" applyFont="1" applyBorder="1" applyAlignment="1">
      <alignment vertical="center"/>
    </xf>
    <xf numFmtId="0" fontId="39" fillId="0" borderId="106" xfId="0" applyFont="1" applyBorder="1" applyAlignment="1" applyProtection="1">
      <alignment vertical="center" wrapText="1"/>
      <protection locked="0"/>
    </xf>
    <xf numFmtId="1" fontId="28" fillId="0" borderId="104" xfId="0" applyNumberFormat="1" applyFont="1" applyBorder="1" applyAlignment="1">
      <alignment horizontal="center" vertical="center"/>
    </xf>
    <xf numFmtId="1" fontId="28" fillId="0" borderId="104" xfId="0" applyNumberFormat="1" applyFont="1" applyBorder="1" applyAlignment="1">
      <alignment vertical="center"/>
    </xf>
    <xf numFmtId="4" fontId="28" fillId="0" borderId="60" xfId="0" applyNumberFormat="1" applyFont="1" applyBorder="1" applyAlignment="1">
      <alignment horizontal="left" vertical="center"/>
    </xf>
    <xf numFmtId="0" fontId="28" fillId="0" borderId="104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49" fontId="28" fillId="0" borderId="104" xfId="0" applyNumberFormat="1" applyFont="1" applyBorder="1" applyAlignment="1">
      <alignment horizontal="left" vertical="center" wrapText="1"/>
    </xf>
    <xf numFmtId="4" fontId="42" fillId="0" borderId="104" xfId="0" applyNumberFormat="1" applyFont="1" applyBorder="1" applyAlignment="1" applyProtection="1">
      <alignment vertical="center"/>
      <protection locked="0"/>
    </xf>
    <xf numFmtId="4" fontId="40" fillId="0" borderId="104" xfId="0" applyNumberFormat="1" applyFont="1" applyBorder="1" applyAlignment="1">
      <alignment horizontal="right" wrapText="1"/>
    </xf>
    <xf numFmtId="4" fontId="28" fillId="0" borderId="103" xfId="0" applyNumberFormat="1" applyFont="1" applyBorder="1" applyAlignment="1">
      <alignment horizontal="center" vertical="center"/>
    </xf>
    <xf numFmtId="2" fontId="30" fillId="0" borderId="103" xfId="0" applyNumberFormat="1" applyFont="1" applyBorder="1" applyAlignment="1">
      <alignment horizontal="center" vertical="center"/>
    </xf>
    <xf numFmtId="1" fontId="28" fillId="0" borderId="105" xfId="0" applyNumberFormat="1" applyFont="1" applyBorder="1" applyAlignment="1">
      <alignment horizontal="center" vertical="center"/>
    </xf>
    <xf numFmtId="4" fontId="28" fillId="0" borderId="105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" fontId="28" fillId="0" borderId="0" xfId="0" applyNumberFormat="1" applyFont="1" applyAlignment="1">
      <alignment vertical="center"/>
    </xf>
    <xf numFmtId="0" fontId="37" fillId="0" borderId="106" xfId="0" applyFont="1" applyBorder="1" applyAlignment="1">
      <alignment vertical="center"/>
    </xf>
    <xf numFmtId="4" fontId="8" fillId="5" borderId="44" xfId="0" applyNumberFormat="1" applyFont="1" applyFill="1" applyBorder="1" applyAlignment="1">
      <alignment horizontal="center" vertical="center"/>
    </xf>
    <xf numFmtId="4" fontId="8" fillId="5" borderId="65" xfId="0" applyNumberFormat="1" applyFont="1" applyFill="1" applyBorder="1" applyAlignment="1">
      <alignment horizontal="center" vertical="center"/>
    </xf>
    <xf numFmtId="4" fontId="8" fillId="5" borderId="66" xfId="0" applyNumberFormat="1" applyFont="1" applyFill="1" applyBorder="1" applyAlignment="1">
      <alignment horizontal="center" vertical="center"/>
    </xf>
    <xf numFmtId="4" fontId="8" fillId="5" borderId="58" xfId="0" applyNumberFormat="1" applyFont="1" applyFill="1" applyBorder="1" applyAlignment="1">
      <alignment horizontal="center" vertical="center"/>
    </xf>
    <xf numFmtId="0" fontId="33" fillId="0" borderId="104" xfId="0" applyFont="1" applyBorder="1" applyAlignment="1" applyProtection="1">
      <alignment horizontal="right" vertical="center" wrapText="1"/>
      <protection locked="0"/>
    </xf>
    <xf numFmtId="0" fontId="46" fillId="0" borderId="106" xfId="0" applyFont="1" applyBorder="1" applyAlignment="1" applyProtection="1">
      <alignment vertical="center" wrapText="1"/>
      <protection locked="0"/>
    </xf>
    <xf numFmtId="0" fontId="46" fillId="0" borderId="104" xfId="0" applyFont="1" applyBorder="1" applyAlignment="1" applyProtection="1">
      <alignment vertical="center" wrapText="1"/>
      <protection locked="0"/>
    </xf>
    <xf numFmtId="0" fontId="33" fillId="0" borderId="106" xfId="0" applyFont="1" applyBorder="1" applyAlignment="1" applyProtection="1">
      <alignment vertical="center" wrapText="1"/>
      <protection locked="0"/>
    </xf>
    <xf numFmtId="0" fontId="33" fillId="0" borderId="104" xfId="0" applyFont="1" applyBorder="1" applyAlignment="1" applyProtection="1">
      <alignment vertical="center" wrapText="1"/>
      <protection locked="0"/>
    </xf>
    <xf numFmtId="0" fontId="46" fillId="0" borderId="106" xfId="0" applyFont="1" applyBorder="1" applyAlignment="1" applyProtection="1">
      <alignment vertical="center"/>
      <protection locked="0"/>
    </xf>
    <xf numFmtId="0" fontId="46" fillId="0" borderId="104" xfId="0" applyFont="1" applyBorder="1" applyAlignment="1" applyProtection="1">
      <alignment vertical="center"/>
      <protection locked="0"/>
    </xf>
    <xf numFmtId="0" fontId="47" fillId="0" borderId="104" xfId="0" applyFont="1" applyBorder="1" applyAlignment="1">
      <alignment horizontal="justify" vertical="center" wrapText="1"/>
    </xf>
    <xf numFmtId="4" fontId="46" fillId="0" borderId="104" xfId="0" applyNumberFormat="1" applyFont="1" applyBorder="1" applyAlignment="1" applyProtection="1">
      <alignment vertical="center"/>
      <protection locked="0"/>
    </xf>
    <xf numFmtId="0" fontId="46" fillId="0" borderId="109" xfId="0" applyFont="1" applyBorder="1" applyAlignment="1" applyProtection="1">
      <alignment vertical="center"/>
      <protection locked="0"/>
    </xf>
    <xf numFmtId="0" fontId="46" fillId="0" borderId="105" xfId="0" applyFont="1" applyBorder="1" applyAlignment="1" applyProtection="1">
      <alignment vertical="center"/>
      <protection locked="0"/>
    </xf>
    <xf numFmtId="2" fontId="30" fillId="0" borderId="44" xfId="0" applyNumberFormat="1" applyFont="1" applyBorder="1" applyAlignment="1">
      <alignment horizontal="center" vertical="center"/>
    </xf>
    <xf numFmtId="4" fontId="5" fillId="0" borderId="104" xfId="0" applyNumberFormat="1" applyFont="1" applyBorder="1" applyAlignment="1">
      <alignment horizontal="center" vertical="center"/>
    </xf>
    <xf numFmtId="4" fontId="2" fillId="0" borderId="60" xfId="0" applyNumberFormat="1" applyFont="1" applyBorder="1" applyAlignment="1">
      <alignment horizontal="right" vertical="center"/>
    </xf>
    <xf numFmtId="4" fontId="2" fillId="0" borderId="104" xfId="0" applyNumberFormat="1" applyFont="1" applyBorder="1" applyAlignment="1">
      <alignment horizontal="center" vertical="center"/>
    </xf>
    <xf numFmtId="4" fontId="2" fillId="0" borderId="104" xfId="0" applyNumberFormat="1" applyFont="1" applyBorder="1" applyAlignment="1">
      <alignment horizontal="right" vertical="center"/>
    </xf>
    <xf numFmtId="164" fontId="2" fillId="0" borderId="104" xfId="0" applyNumberFormat="1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172" fontId="28" fillId="0" borderId="104" xfId="0" applyNumberFormat="1" applyFont="1" applyBorder="1" applyAlignment="1">
      <alignment horizontal="center" vertical="center"/>
    </xf>
    <xf numFmtId="2" fontId="30" fillId="0" borderId="115" xfId="0" applyNumberFormat="1" applyFont="1" applyBorder="1" applyAlignment="1">
      <alignment horizontal="center" vertical="center"/>
    </xf>
    <xf numFmtId="4" fontId="46" fillId="0" borderId="104" xfId="0" applyNumberFormat="1" applyFont="1" applyBorder="1" applyAlignment="1" applyProtection="1">
      <alignment horizontal="right" vertical="center"/>
      <protection locked="0"/>
    </xf>
    <xf numFmtId="0" fontId="8" fillId="5" borderId="44" xfId="0" applyFont="1" applyFill="1" applyBorder="1" applyAlignment="1">
      <alignment horizontal="center" vertical="center"/>
    </xf>
    <xf numFmtId="0" fontId="8" fillId="5" borderId="65" xfId="0" applyFont="1" applyFill="1" applyBorder="1" applyAlignment="1">
      <alignment horizontal="center" vertical="center"/>
    </xf>
    <xf numFmtId="4" fontId="8" fillId="5" borderId="64" xfId="0" applyNumberFormat="1" applyFont="1" applyFill="1" applyBorder="1" applyAlignment="1">
      <alignment horizontal="center" vertical="center"/>
    </xf>
    <xf numFmtId="16" fontId="8" fillId="5" borderId="65" xfId="0" applyNumberFormat="1" applyFont="1" applyFill="1" applyBorder="1" applyAlignment="1">
      <alignment horizontal="center" vertical="center"/>
    </xf>
    <xf numFmtId="0" fontId="16" fillId="5" borderId="44" xfId="0" applyFont="1" applyFill="1" applyBorder="1"/>
    <xf numFmtId="3" fontId="8" fillId="5" borderId="64" xfId="0" applyNumberFormat="1" applyFont="1" applyFill="1" applyBorder="1" applyAlignment="1">
      <alignment horizontal="center" vertical="center"/>
    </xf>
    <xf numFmtId="0" fontId="8" fillId="5" borderId="64" xfId="0" applyFont="1" applyFill="1" applyBorder="1" applyAlignment="1">
      <alignment horizontal="center" vertical="center"/>
    </xf>
    <xf numFmtId="4" fontId="8" fillId="0" borderId="61" xfId="0" applyNumberFormat="1" applyFont="1" applyBorder="1" applyAlignment="1">
      <alignment horizontal="center" vertical="center"/>
    </xf>
    <xf numFmtId="4" fontId="8" fillId="0" borderId="44" xfId="0" applyNumberFormat="1" applyFont="1" applyBorder="1" applyAlignment="1">
      <alignment horizontal="center" vertical="center"/>
    </xf>
    <xf numFmtId="4" fontId="8" fillId="0" borderId="44" xfId="0" applyNumberFormat="1" applyFont="1" applyBorder="1" applyAlignment="1">
      <alignment vertical="center"/>
    </xf>
    <xf numFmtId="4" fontId="8" fillId="0" borderId="50" xfId="0" applyNumberFormat="1" applyFont="1" applyBorder="1" applyAlignment="1">
      <alignment horizontal="center" vertical="center"/>
    </xf>
    <xf numFmtId="4" fontId="8" fillId="5" borderId="117" xfId="0" applyNumberFormat="1" applyFont="1" applyFill="1" applyBorder="1" applyAlignment="1">
      <alignment horizontal="center" vertical="center"/>
    </xf>
    <xf numFmtId="4" fontId="8" fillId="5" borderId="120" xfId="0" applyNumberFormat="1" applyFont="1" applyFill="1" applyBorder="1" applyAlignment="1">
      <alignment horizontal="center" vertical="center"/>
    </xf>
    <xf numFmtId="4" fontId="8" fillId="5" borderId="119" xfId="0" applyNumberFormat="1" applyFont="1" applyFill="1" applyBorder="1" applyAlignment="1">
      <alignment horizontal="center" vertical="center"/>
    </xf>
    <xf numFmtId="0" fontId="8" fillId="5" borderId="119" xfId="0" applyFont="1" applyFill="1" applyBorder="1" applyAlignment="1">
      <alignment horizontal="center" vertical="center"/>
    </xf>
    <xf numFmtId="4" fontId="8" fillId="5" borderId="118" xfId="0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/>
    </xf>
    <xf numFmtId="4" fontId="8" fillId="5" borderId="122" xfId="0" applyNumberFormat="1" applyFont="1" applyFill="1" applyBorder="1" applyAlignment="1">
      <alignment horizontal="center" vertical="center"/>
    </xf>
    <xf numFmtId="0" fontId="8" fillId="5" borderId="121" xfId="0" applyFont="1" applyFill="1" applyBorder="1" applyAlignment="1">
      <alignment horizontal="center" vertical="center"/>
    </xf>
    <xf numFmtId="3" fontId="8" fillId="5" borderId="121" xfId="0" applyNumberFormat="1" applyFont="1" applyFill="1" applyBorder="1" applyAlignment="1">
      <alignment horizontal="center" vertical="center"/>
    </xf>
    <xf numFmtId="4" fontId="8" fillId="5" borderId="121" xfId="0" applyNumberFormat="1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4" fontId="8" fillId="5" borderId="44" xfId="0" applyNumberFormat="1" applyFont="1" applyFill="1" applyBorder="1" applyAlignment="1">
      <alignment horizontal="left" vertical="center"/>
    </xf>
    <xf numFmtId="0" fontId="8" fillId="5" borderId="122" xfId="0" applyFont="1" applyFill="1" applyBorder="1" applyAlignment="1">
      <alignment horizontal="center" vertical="center"/>
    </xf>
    <xf numFmtId="0" fontId="6" fillId="17" borderId="116" xfId="0" applyFont="1" applyFill="1" applyBorder="1" applyAlignment="1">
      <alignment horizontal="center" vertical="center"/>
    </xf>
    <xf numFmtId="0" fontId="0" fillId="0" borderId="122" xfId="0" applyBorder="1" applyAlignment="1">
      <alignment vertical="center"/>
    </xf>
    <xf numFmtId="0" fontId="46" fillId="19" borderId="104" xfId="0" applyFont="1" applyFill="1" applyBorder="1" applyAlignment="1" applyProtection="1">
      <alignment vertical="center" wrapText="1"/>
      <protection locked="0"/>
    </xf>
    <xf numFmtId="164" fontId="28" fillId="19" borderId="104" xfId="0" applyNumberFormat="1" applyFont="1" applyFill="1" applyBorder="1" applyAlignment="1">
      <alignment horizontal="center" vertical="center"/>
    </xf>
    <xf numFmtId="3" fontId="28" fillId="19" borderId="104" xfId="0" applyNumberFormat="1" applyFont="1" applyFill="1" applyBorder="1" applyAlignment="1">
      <alignment horizontal="center" vertical="center"/>
    </xf>
    <xf numFmtId="4" fontId="28" fillId="19" borderId="104" xfId="0" applyNumberFormat="1" applyFont="1" applyFill="1" applyBorder="1" applyAlignment="1">
      <alignment horizontal="center" vertical="center"/>
    </xf>
    <xf numFmtId="2" fontId="30" fillId="19" borderId="104" xfId="0" applyNumberFormat="1" applyFont="1" applyFill="1" applyBorder="1" applyAlignment="1">
      <alignment horizontal="center" vertical="center"/>
    </xf>
    <xf numFmtId="4" fontId="28" fillId="19" borderId="104" xfId="0" applyNumberFormat="1" applyFont="1" applyFill="1" applyBorder="1" applyAlignment="1">
      <alignment horizontal="center" vertical="center" wrapText="1"/>
    </xf>
    <xf numFmtId="4" fontId="2" fillId="19" borderId="60" xfId="0" applyNumberFormat="1" applyFont="1" applyFill="1" applyBorder="1" applyAlignment="1">
      <alignment horizontal="right" vertical="center"/>
    </xf>
    <xf numFmtId="2" fontId="30" fillId="19" borderId="44" xfId="0" applyNumberFormat="1" applyFont="1" applyFill="1" applyBorder="1" applyAlignment="1">
      <alignment horizontal="center" vertical="center"/>
    </xf>
    <xf numFmtId="4" fontId="2" fillId="19" borderId="104" xfId="0" applyNumberFormat="1" applyFont="1" applyFill="1" applyBorder="1" applyAlignment="1">
      <alignment horizontal="center" vertical="center"/>
    </xf>
    <xf numFmtId="0" fontId="51" fillId="0" borderId="31" xfId="0" applyFont="1" applyBorder="1" applyAlignment="1">
      <alignment horizontal="left" vertical="center"/>
    </xf>
    <xf numFmtId="4" fontId="51" fillId="0" borderId="64" xfId="0" applyNumberFormat="1" applyFont="1" applyBorder="1" applyAlignment="1">
      <alignment horizontal="left"/>
    </xf>
    <xf numFmtId="0" fontId="5" fillId="0" borderId="31" xfId="0" applyFont="1" applyBorder="1" applyAlignment="1">
      <alignment horizontal="left" vertical="center"/>
    </xf>
    <xf numFmtId="4" fontId="5" fillId="0" borderId="64" xfId="0" applyNumberFormat="1" applyFont="1" applyBorder="1" applyAlignment="1">
      <alignment horizontal="left" vertical="center"/>
    </xf>
    <xf numFmtId="0" fontId="55" fillId="0" borderId="31" xfId="0" applyFont="1" applyBorder="1" applyAlignment="1">
      <alignment horizontal="left" vertical="center"/>
    </xf>
    <xf numFmtId="4" fontId="55" fillId="0" borderId="64" xfId="0" applyNumberFormat="1" applyFont="1" applyBorder="1" applyAlignment="1">
      <alignment horizontal="left"/>
    </xf>
    <xf numFmtId="49" fontId="7" fillId="5" borderId="106" xfId="0" applyNumberFormat="1" applyFont="1" applyFill="1" applyBorder="1" applyAlignment="1">
      <alignment vertical="center"/>
    </xf>
    <xf numFmtId="0" fontId="7" fillId="0" borderId="104" xfId="0" applyFont="1" applyBorder="1" applyAlignment="1" applyProtection="1">
      <alignment vertical="center"/>
      <protection locked="0"/>
    </xf>
    <xf numFmtId="0" fontId="38" fillId="4" borderId="116" xfId="0" applyFont="1" applyFill="1" applyBorder="1" applyAlignment="1">
      <alignment horizontal="center"/>
    </xf>
    <xf numFmtId="0" fontId="38" fillId="4" borderId="116" xfId="0" applyFont="1" applyFill="1" applyBorder="1" applyAlignment="1">
      <alignment horizontal="center" vertical="center"/>
    </xf>
    <xf numFmtId="1" fontId="38" fillId="4" borderId="116" xfId="0" applyNumberFormat="1" applyFont="1" applyFill="1" applyBorder="1" applyAlignment="1">
      <alignment horizontal="center" vertical="center"/>
    </xf>
    <xf numFmtId="4" fontId="51" fillId="19" borderId="64" xfId="0" applyNumberFormat="1" applyFont="1" applyFill="1" applyBorder="1" applyAlignment="1">
      <alignment horizontal="left"/>
    </xf>
    <xf numFmtId="4" fontId="5" fillId="19" borderId="64" xfId="0" applyNumberFormat="1" applyFont="1" applyFill="1" applyBorder="1" applyAlignment="1">
      <alignment horizontal="left" vertical="center"/>
    </xf>
    <xf numFmtId="164" fontId="2" fillId="19" borderId="104" xfId="0" applyNumberFormat="1" applyFont="1" applyFill="1" applyBorder="1" applyAlignment="1">
      <alignment horizontal="center" vertical="center"/>
    </xf>
    <xf numFmtId="0" fontId="33" fillId="19" borderId="104" xfId="1" applyNumberFormat="1" applyFont="1" applyFill="1" applyBorder="1" applyAlignment="1">
      <alignment horizontal="left" vertical="center" wrapText="1"/>
    </xf>
    <xf numFmtId="0" fontId="56" fillId="19" borderId="104" xfId="5" applyFont="1" applyFill="1" applyBorder="1" applyAlignment="1">
      <alignment horizontal="left"/>
    </xf>
    <xf numFmtId="2" fontId="5" fillId="0" borderId="104" xfId="0" applyNumberFormat="1" applyFont="1" applyBorder="1" applyAlignment="1">
      <alignment horizontal="center" vertical="center"/>
    </xf>
    <xf numFmtId="0" fontId="28" fillId="0" borderId="44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33" fillId="19" borderId="44" xfId="1" applyNumberFormat="1" applyFont="1" applyFill="1" applyAlignment="1">
      <alignment horizontal="left" vertical="center" wrapText="1"/>
    </xf>
    <xf numFmtId="0" fontId="33" fillId="19" borderId="104" xfId="1" applyNumberFormat="1" applyFont="1" applyFill="1" applyBorder="1" applyAlignment="1">
      <alignment horizontal="right" vertical="center" wrapText="1"/>
    </xf>
    <xf numFmtId="0" fontId="33" fillId="19" borderId="44" xfId="1" applyNumberFormat="1" applyFont="1" applyFill="1" applyAlignment="1">
      <alignment horizontal="right" vertical="center" wrapText="1"/>
    </xf>
    <xf numFmtId="1" fontId="28" fillId="19" borderId="104" xfId="0" applyNumberFormat="1" applyFont="1" applyFill="1" applyBorder="1" applyAlignment="1">
      <alignment horizontal="center" vertical="center"/>
    </xf>
    <xf numFmtId="2" fontId="30" fillId="19" borderId="33" xfId="0" applyNumberFormat="1" applyFont="1" applyFill="1" applyBorder="1" applyAlignment="1">
      <alignment horizontal="center" vertical="center"/>
    </xf>
    <xf numFmtId="49" fontId="28" fillId="19" borderId="44" xfId="0" applyNumberFormat="1" applyFont="1" applyFill="1" applyBorder="1" applyAlignment="1">
      <alignment horizontal="left" vertical="center" wrapText="1"/>
    </xf>
    <xf numFmtId="4" fontId="28" fillId="19" borderId="60" xfId="0" applyNumberFormat="1" applyFont="1" applyFill="1" applyBorder="1" applyAlignment="1">
      <alignment horizontal="right" vertical="center"/>
    </xf>
    <xf numFmtId="4" fontId="28" fillId="19" borderId="44" xfId="0" applyNumberFormat="1" applyFont="1" applyFill="1" applyBorder="1" applyAlignment="1">
      <alignment horizontal="right" vertical="center"/>
    </xf>
    <xf numFmtId="0" fontId="28" fillId="19" borderId="104" xfId="0" applyFont="1" applyFill="1" applyBorder="1" applyAlignment="1">
      <alignment horizontal="center" vertical="center"/>
    </xf>
    <xf numFmtId="1" fontId="30" fillId="19" borderId="104" xfId="0" applyNumberFormat="1" applyFont="1" applyFill="1" applyBorder="1" applyAlignment="1">
      <alignment horizontal="center" vertical="center"/>
    </xf>
    <xf numFmtId="4" fontId="30" fillId="19" borderId="104" xfId="0" applyNumberFormat="1" applyFont="1" applyFill="1" applyBorder="1" applyAlignment="1">
      <alignment horizontal="center" vertical="center"/>
    </xf>
    <xf numFmtId="0" fontId="37" fillId="19" borderId="0" xfId="0" applyFont="1" applyFill="1" applyAlignment="1">
      <alignment vertical="center"/>
    </xf>
    <xf numFmtId="4" fontId="28" fillId="19" borderId="104" xfId="0" applyNumberFormat="1" applyFont="1" applyFill="1" applyBorder="1" applyAlignment="1">
      <alignment horizontal="left" vertical="center"/>
    </xf>
    <xf numFmtId="4" fontId="33" fillId="19" borderId="60" xfId="0" applyNumberFormat="1" applyFont="1" applyFill="1" applyBorder="1" applyAlignment="1">
      <alignment horizontal="right" vertical="center"/>
    </xf>
    <xf numFmtId="1" fontId="2" fillId="19" borderId="104" xfId="0" applyNumberFormat="1" applyFont="1" applyFill="1" applyBorder="1" applyAlignment="1">
      <alignment horizontal="center" vertical="center"/>
    </xf>
    <xf numFmtId="0" fontId="28" fillId="19" borderId="33" xfId="0" applyFont="1" applyFill="1" applyBorder="1" applyAlignment="1">
      <alignment vertical="center"/>
    </xf>
    <xf numFmtId="2" fontId="27" fillId="19" borderId="33" xfId="0" applyNumberFormat="1" applyFont="1" applyFill="1" applyBorder="1" applyAlignment="1">
      <alignment horizontal="center" vertical="center"/>
    </xf>
    <xf numFmtId="4" fontId="33" fillId="19" borderId="104" xfId="0" applyNumberFormat="1" applyFont="1" applyFill="1" applyBorder="1" applyAlignment="1">
      <alignment horizontal="right" vertical="center"/>
    </xf>
    <xf numFmtId="4" fontId="33" fillId="19" borderId="104" xfId="0" applyNumberFormat="1" applyFont="1" applyFill="1" applyBorder="1" applyAlignment="1">
      <alignment horizontal="right" vertical="center" wrapText="1"/>
    </xf>
    <xf numFmtId="4" fontId="33" fillId="19" borderId="104" xfId="0" applyNumberFormat="1" applyFont="1" applyFill="1" applyBorder="1" applyAlignment="1">
      <alignment horizontal="right" wrapText="1"/>
    </xf>
    <xf numFmtId="4" fontId="40" fillId="19" borderId="104" xfId="0" applyNumberFormat="1" applyFont="1" applyFill="1" applyBorder="1" applyAlignment="1">
      <alignment horizontal="center" vertical="top"/>
    </xf>
    <xf numFmtId="3" fontId="40" fillId="19" borderId="104" xfId="0" applyNumberFormat="1" applyFont="1" applyFill="1" applyBorder="1" applyAlignment="1">
      <alignment horizontal="center" vertical="top"/>
    </xf>
    <xf numFmtId="4" fontId="40" fillId="19" borderId="104" xfId="0" applyNumberFormat="1" applyFont="1" applyFill="1" applyBorder="1" applyAlignment="1">
      <alignment horizontal="center"/>
    </xf>
    <xf numFmtId="4" fontId="40" fillId="19" borderId="104" xfId="0" applyNumberFormat="1" applyFont="1" applyFill="1" applyBorder="1" applyAlignment="1">
      <alignment horizontal="center" vertical="center"/>
    </xf>
    <xf numFmtId="4" fontId="40" fillId="19" borderId="104" xfId="0" applyNumberFormat="1" applyFont="1" applyFill="1" applyBorder="1" applyAlignment="1">
      <alignment horizontal="right" vertical="top" wrapText="1"/>
    </xf>
    <xf numFmtId="4" fontId="28" fillId="19" borderId="104" xfId="0" applyNumberFormat="1" applyFont="1" applyFill="1" applyBorder="1" applyAlignment="1">
      <alignment horizontal="right" vertical="center"/>
    </xf>
    <xf numFmtId="49" fontId="2" fillId="19" borderId="64" xfId="2" applyNumberFormat="1" applyFont="1" applyFill="1" applyBorder="1" applyAlignment="1">
      <alignment horizontal="left" vertical="center" wrapText="1"/>
    </xf>
    <xf numFmtId="49" fontId="2" fillId="19" borderId="60" xfId="0" applyNumberFormat="1" applyFont="1" applyFill="1" applyBorder="1" applyAlignment="1">
      <alignment horizontal="right" vertical="center" wrapText="1"/>
    </xf>
    <xf numFmtId="0" fontId="37" fillId="19" borderId="0" xfId="0" applyFont="1" applyFill="1" applyAlignment="1">
      <alignment horizontal="center" vertical="center"/>
    </xf>
    <xf numFmtId="0" fontId="46" fillId="19" borderId="104" xfId="0" applyFont="1" applyFill="1" applyBorder="1" applyAlignment="1" applyProtection="1">
      <alignment vertical="center"/>
      <protection locked="0"/>
    </xf>
    <xf numFmtId="0" fontId="28" fillId="19" borderId="104" xfId="0" applyFont="1" applyFill="1" applyBorder="1" applyAlignment="1">
      <alignment vertical="center"/>
    </xf>
    <xf numFmtId="4" fontId="2" fillId="19" borderId="64" xfId="2" applyNumberFormat="1" applyFont="1" applyFill="1" applyBorder="1" applyAlignment="1">
      <alignment horizontal="left" vertical="center" wrapText="1"/>
    </xf>
    <xf numFmtId="0" fontId="41" fillId="19" borderId="104" xfId="0" applyFont="1" applyFill="1" applyBorder="1" applyAlignment="1">
      <alignment vertical="center"/>
    </xf>
    <xf numFmtId="4" fontId="2" fillId="19" borderId="104" xfId="0" applyNumberFormat="1" applyFont="1" applyFill="1" applyBorder="1" applyAlignment="1">
      <alignment horizontal="right" vertical="center"/>
    </xf>
    <xf numFmtId="4" fontId="2" fillId="19" borderId="104" xfId="0" applyNumberFormat="1" applyFont="1" applyFill="1" applyBorder="1" applyAlignment="1">
      <alignment horizontal="left" vertical="center"/>
    </xf>
    <xf numFmtId="164" fontId="30" fillId="19" borderId="104" xfId="0" applyNumberFormat="1" applyFont="1" applyFill="1" applyBorder="1" applyAlignment="1">
      <alignment horizontal="center" vertical="center"/>
    </xf>
    <xf numFmtId="0" fontId="37" fillId="19" borderId="104" xfId="0" applyFont="1" applyFill="1" applyBorder="1" applyAlignment="1">
      <alignment vertical="center"/>
    </xf>
    <xf numFmtId="0" fontId="37" fillId="19" borderId="44" xfId="0" applyFont="1" applyFill="1" applyBorder="1" applyAlignment="1">
      <alignment vertical="center"/>
    </xf>
    <xf numFmtId="4" fontId="28" fillId="19" borderId="33" xfId="0" applyNumberFormat="1" applyFont="1" applyFill="1" applyBorder="1" applyAlignment="1">
      <alignment horizontal="center" vertical="center"/>
    </xf>
    <xf numFmtId="4" fontId="2" fillId="19" borderId="64" xfId="2" applyNumberFormat="1" applyFont="1" applyFill="1" applyBorder="1" applyAlignment="1">
      <alignment horizontal="left" vertical="center"/>
    </xf>
    <xf numFmtId="0" fontId="52" fillId="19" borderId="44" xfId="6" applyFont="1" applyFill="1" applyAlignment="1">
      <alignment vertical="center"/>
    </xf>
    <xf numFmtId="2" fontId="34" fillId="19" borderId="44" xfId="6" applyNumberFormat="1" applyFont="1" applyFill="1" applyAlignment="1">
      <alignment horizontal="left" vertical="center"/>
    </xf>
    <xf numFmtId="0" fontId="34" fillId="19" borderId="44" xfId="6" applyFont="1" applyFill="1" applyAlignment="1">
      <alignment horizontal="center" vertical="center"/>
    </xf>
    <xf numFmtId="0" fontId="34" fillId="19" borderId="44" xfId="6" applyFont="1" applyFill="1" applyAlignment="1">
      <alignment vertical="center"/>
    </xf>
    <xf numFmtId="0" fontId="58" fillId="0" borderId="44" xfId="6" applyAlignment="1">
      <alignment vertical="center"/>
    </xf>
    <xf numFmtId="2" fontId="49" fillId="19" borderId="67" xfId="6" applyNumberFormat="1" applyFont="1" applyFill="1" applyBorder="1" applyAlignment="1">
      <alignment horizontal="left" vertical="center"/>
    </xf>
    <xf numFmtId="0" fontId="49" fillId="19" borderId="44" xfId="6" applyFont="1" applyFill="1" applyAlignment="1">
      <alignment horizontal="left" vertical="center"/>
    </xf>
    <xf numFmtId="0" fontId="50" fillId="19" borderId="44" xfId="6" applyFont="1" applyFill="1" applyAlignment="1">
      <alignment horizontal="center" vertical="center"/>
    </xf>
    <xf numFmtId="0" fontId="49" fillId="19" borderId="44" xfId="6" applyFont="1" applyFill="1" applyAlignment="1">
      <alignment horizontal="center" vertical="center"/>
    </xf>
    <xf numFmtId="0" fontId="50" fillId="19" borderId="33" xfId="6" applyFont="1" applyFill="1" applyBorder="1" applyAlignment="1">
      <alignment horizontal="center" vertical="center"/>
    </xf>
    <xf numFmtId="0" fontId="49" fillId="19" borderId="31" xfId="6" applyFont="1" applyFill="1" applyBorder="1" applyAlignment="1">
      <alignment horizontal="left" vertical="center"/>
    </xf>
    <xf numFmtId="0" fontId="2" fillId="19" borderId="33" xfId="6" applyFont="1" applyFill="1" applyBorder="1" applyAlignment="1">
      <alignment vertical="center"/>
    </xf>
    <xf numFmtId="0" fontId="58" fillId="19" borderId="44" xfId="6" applyFill="1" applyAlignment="1">
      <alignment vertical="center"/>
    </xf>
    <xf numFmtId="0" fontId="5" fillId="19" borderId="113" xfId="6" applyFont="1" applyFill="1" applyBorder="1" applyAlignment="1">
      <alignment horizontal="left" vertical="center"/>
    </xf>
    <xf numFmtId="0" fontId="5" fillId="19" borderId="66" xfId="6" applyFont="1" applyFill="1" applyBorder="1" applyAlignment="1">
      <alignment horizontal="center" vertical="center"/>
    </xf>
    <xf numFmtId="1" fontId="5" fillId="19" borderId="66" xfId="6" applyNumberFormat="1" applyFont="1" applyFill="1" applyBorder="1" applyAlignment="1">
      <alignment horizontal="center" vertical="center"/>
    </xf>
    <xf numFmtId="0" fontId="5" fillId="19" borderId="114" xfId="6" applyFont="1" applyFill="1" applyBorder="1" applyAlignment="1">
      <alignment vertical="center"/>
    </xf>
    <xf numFmtId="1" fontId="38" fillId="4" borderId="123" xfId="6" applyNumberFormat="1" applyFont="1" applyFill="1" applyBorder="1" applyAlignment="1">
      <alignment horizontal="center" vertical="center"/>
    </xf>
    <xf numFmtId="0" fontId="38" fillId="4" borderId="124" xfId="6" applyFont="1" applyFill="1" applyBorder="1" applyAlignment="1">
      <alignment horizontal="center"/>
    </xf>
    <xf numFmtId="0" fontId="38" fillId="4" borderId="124" xfId="6" applyFont="1" applyFill="1" applyBorder="1" applyAlignment="1">
      <alignment horizontal="center" vertical="center"/>
    </xf>
    <xf numFmtId="0" fontId="38" fillId="4" borderId="125" xfId="6" applyFont="1" applyFill="1" applyBorder="1" applyAlignment="1">
      <alignment horizontal="center" vertical="center"/>
    </xf>
    <xf numFmtId="0" fontId="51" fillId="22" borderId="31" xfId="6" applyFont="1" applyFill="1" applyBorder="1" applyAlignment="1">
      <alignment horizontal="left" vertical="center"/>
    </xf>
    <xf numFmtId="4" fontId="51" fillId="22" borderId="64" xfId="6" applyNumberFormat="1" applyFont="1" applyFill="1" applyBorder="1" applyAlignment="1">
      <alignment horizontal="left"/>
    </xf>
    <xf numFmtId="2" fontId="54" fillId="22" borderId="64" xfId="6" applyNumberFormat="1" applyFont="1" applyFill="1" applyBorder="1" applyAlignment="1">
      <alignment horizontal="left"/>
    </xf>
    <xf numFmtId="4" fontId="54" fillId="22" borderId="64" xfId="6" applyNumberFormat="1" applyFont="1" applyFill="1" applyBorder="1" applyAlignment="1">
      <alignment horizontal="left"/>
    </xf>
    <xf numFmtId="4" fontId="54" fillId="22" borderId="110" xfId="6" applyNumberFormat="1" applyFont="1" applyFill="1" applyBorder="1" applyAlignment="1">
      <alignment horizontal="left"/>
    </xf>
    <xf numFmtId="0" fontId="5" fillId="19" borderId="31" xfId="6" applyFont="1" applyFill="1" applyBorder="1" applyAlignment="1">
      <alignment horizontal="left" vertical="center"/>
    </xf>
    <xf numFmtId="4" fontId="5" fillId="19" borderId="64" xfId="6" applyNumberFormat="1" applyFont="1" applyFill="1" applyBorder="1" applyAlignment="1">
      <alignment horizontal="left" vertical="center"/>
    </xf>
    <xf numFmtId="0" fontId="2" fillId="19" borderId="64" xfId="6" applyFont="1" applyFill="1" applyBorder="1" applyAlignment="1">
      <alignment horizontal="center" vertical="center"/>
    </xf>
    <xf numFmtId="3" fontId="5" fillId="19" borderId="64" xfId="6" applyNumberFormat="1" applyFont="1" applyFill="1" applyBorder="1" applyAlignment="1">
      <alignment horizontal="center" vertical="center"/>
    </xf>
    <xf numFmtId="2" fontId="5" fillId="19" borderId="64" xfId="6" applyNumberFormat="1" applyFont="1" applyFill="1" applyBorder="1" applyAlignment="1">
      <alignment horizontal="center" vertical="center"/>
    </xf>
    <xf numFmtId="2" fontId="2" fillId="19" borderId="64" xfId="6" applyNumberFormat="1" applyFont="1" applyFill="1" applyBorder="1" applyAlignment="1">
      <alignment horizontal="center" vertical="center"/>
    </xf>
    <xf numFmtId="0" fontId="2" fillId="19" borderId="110" xfId="6" applyFont="1" applyFill="1" applyBorder="1" applyAlignment="1">
      <alignment vertical="center"/>
    </xf>
    <xf numFmtId="0" fontId="2" fillId="19" borderId="31" xfId="6" applyFont="1" applyFill="1" applyBorder="1" applyAlignment="1">
      <alignment horizontal="left" vertical="center"/>
    </xf>
    <xf numFmtId="49" fontId="2" fillId="19" borderId="64" xfId="6" applyNumberFormat="1" applyFont="1" applyFill="1" applyBorder="1" applyAlignment="1">
      <alignment horizontal="left" vertical="center"/>
    </xf>
    <xf numFmtId="164" fontId="2" fillId="19" borderId="64" xfId="6" applyNumberFormat="1" applyFont="1" applyFill="1" applyBorder="1" applyAlignment="1">
      <alignment horizontal="center" vertical="center"/>
    </xf>
    <xf numFmtId="1" fontId="2" fillId="19" borderId="64" xfId="6" applyNumberFormat="1" applyFont="1" applyFill="1" applyBorder="1" applyAlignment="1">
      <alignment horizontal="center" vertical="center"/>
    </xf>
    <xf numFmtId="2" fontId="5" fillId="19" borderId="110" xfId="6" applyNumberFormat="1" applyFont="1" applyFill="1" applyBorder="1" applyAlignment="1">
      <alignment horizontal="center" vertical="center"/>
    </xf>
    <xf numFmtId="49" fontId="2" fillId="19" borderId="64" xfId="6" applyNumberFormat="1" applyFont="1" applyFill="1" applyBorder="1" applyAlignment="1">
      <alignment horizontal="right" vertical="center"/>
    </xf>
    <xf numFmtId="0" fontId="58" fillId="23" borderId="44" xfId="6" applyFill="1" applyAlignment="1">
      <alignment vertical="center"/>
    </xf>
    <xf numFmtId="0" fontId="46" fillId="19" borderId="104" xfId="6" applyFont="1" applyFill="1" applyBorder="1" applyAlignment="1" applyProtection="1">
      <alignment vertical="center" wrapText="1"/>
      <protection locked="0"/>
    </xf>
    <xf numFmtId="0" fontId="48" fillId="19" borderId="44" xfId="6" applyFont="1" applyFill="1" applyAlignment="1">
      <alignment horizontal="right" vertical="center"/>
    </xf>
    <xf numFmtId="49" fontId="2" fillId="19" borderId="60" xfId="6" applyNumberFormat="1" applyFont="1" applyFill="1" applyBorder="1" applyAlignment="1">
      <alignment horizontal="left" vertical="center"/>
    </xf>
    <xf numFmtId="164" fontId="2" fillId="19" borderId="104" xfId="6" applyNumberFormat="1" applyFont="1" applyFill="1" applyBorder="1" applyAlignment="1">
      <alignment horizontal="center" vertical="center"/>
    </xf>
    <xf numFmtId="3" fontId="2" fillId="19" borderId="62" xfId="6" applyNumberFormat="1" applyFont="1" applyFill="1" applyBorder="1" applyAlignment="1">
      <alignment horizontal="center" vertical="center"/>
    </xf>
    <xf numFmtId="4" fontId="2" fillId="19" borderId="50" xfId="6" applyNumberFormat="1" applyFont="1" applyFill="1" applyBorder="1" applyAlignment="1">
      <alignment horizontal="center" vertical="center"/>
    </xf>
    <xf numFmtId="49" fontId="2" fillId="19" borderId="60" xfId="6" applyNumberFormat="1" applyFont="1" applyFill="1" applyBorder="1" applyAlignment="1">
      <alignment horizontal="right" vertical="center"/>
    </xf>
    <xf numFmtId="173" fontId="2" fillId="19" borderId="65" xfId="6" applyNumberFormat="1" applyFont="1" applyFill="1" applyBorder="1" applyAlignment="1">
      <alignment horizontal="center" vertical="center"/>
    </xf>
    <xf numFmtId="4" fontId="2" fillId="19" borderId="64" xfId="6" applyNumberFormat="1" applyFont="1" applyFill="1" applyBorder="1" applyAlignment="1">
      <alignment horizontal="center" vertical="center"/>
    </xf>
    <xf numFmtId="173" fontId="2" fillId="19" borderId="64" xfId="6" applyNumberFormat="1" applyFont="1" applyFill="1" applyBorder="1" applyAlignment="1">
      <alignment horizontal="center" vertical="center"/>
    </xf>
    <xf numFmtId="0" fontId="5" fillId="19" borderId="64" xfId="6" applyFont="1" applyFill="1" applyBorder="1" applyAlignment="1">
      <alignment horizontal="left" vertical="center"/>
    </xf>
    <xf numFmtId="4" fontId="51" fillId="22" borderId="104" xfId="5" applyNumberFormat="1" applyFont="1" applyFill="1" applyBorder="1" applyAlignment="1">
      <alignment horizontal="left"/>
    </xf>
    <xf numFmtId="0" fontId="59" fillId="22" borderId="104" xfId="5" applyFont="1" applyFill="1" applyBorder="1" applyAlignment="1">
      <alignment horizontal="center" vertical="center"/>
    </xf>
    <xf numFmtId="1" fontId="54" fillId="22" borderId="104" xfId="5" applyNumberFormat="1" applyFont="1" applyFill="1" applyBorder="1" applyAlignment="1">
      <alignment horizontal="center" vertical="center"/>
    </xf>
    <xf numFmtId="4" fontId="54" fillId="22" borderId="104" xfId="5" applyNumberFormat="1" applyFont="1" applyFill="1" applyBorder="1" applyAlignment="1">
      <alignment horizontal="center" vertical="center"/>
    </xf>
    <xf numFmtId="4" fontId="59" fillId="22" borderId="104" xfId="5" applyNumberFormat="1" applyFont="1" applyFill="1" applyBorder="1" applyAlignment="1">
      <alignment horizontal="center" vertical="center"/>
    </xf>
    <xf numFmtId="0" fontId="56" fillId="0" borderId="104" xfId="5" applyFont="1" applyBorder="1" applyAlignment="1">
      <alignment horizontal="left" vertical="center"/>
    </xf>
    <xf numFmtId="1" fontId="56" fillId="0" borderId="104" xfId="5" applyNumberFormat="1" applyFont="1" applyBorder="1" applyAlignment="1">
      <alignment horizontal="center" vertical="center"/>
    </xf>
    <xf numFmtId="4" fontId="56" fillId="0" borderId="104" xfId="5" applyNumberFormat="1" applyFont="1" applyBorder="1" applyAlignment="1">
      <alignment horizontal="left" vertical="center"/>
    </xf>
    <xf numFmtId="49" fontId="33" fillId="0" borderId="104" xfId="1" applyNumberFormat="1" applyFont="1" applyBorder="1" applyAlignment="1">
      <alignment horizontal="left" vertical="center" wrapText="1"/>
    </xf>
    <xf numFmtId="164" fontId="33" fillId="0" borderId="104" xfId="1" applyFont="1" applyBorder="1" applyAlignment="1">
      <alignment horizontal="center" vertical="center"/>
    </xf>
    <xf numFmtId="1" fontId="33" fillId="0" borderId="104" xfId="1" applyNumberFormat="1" applyFont="1" applyBorder="1" applyAlignment="1">
      <alignment horizontal="center" vertical="center"/>
    </xf>
    <xf numFmtId="4" fontId="33" fillId="0" borderId="104" xfId="1" applyNumberFormat="1" applyFont="1" applyBorder="1" applyAlignment="1">
      <alignment horizontal="center" vertical="center"/>
    </xf>
    <xf numFmtId="4" fontId="33" fillId="0" borderId="104" xfId="6" applyNumberFormat="1" applyFont="1" applyBorder="1" applyAlignment="1" applyProtection="1">
      <alignment horizontal="center" vertical="center"/>
      <protection locked="0"/>
    </xf>
    <xf numFmtId="4" fontId="56" fillId="0" borderId="104" xfId="6" applyNumberFormat="1" applyFont="1" applyBorder="1" applyAlignment="1" applyProtection="1">
      <alignment horizontal="center" vertical="center"/>
      <protection locked="0"/>
    </xf>
    <xf numFmtId="0" fontId="33" fillId="0" borderId="104" xfId="1" quotePrefix="1" applyNumberFormat="1" applyFont="1" applyBorder="1" applyAlignment="1">
      <alignment horizontal="left" vertical="center"/>
    </xf>
    <xf numFmtId="4" fontId="33" fillId="0" borderId="104" xfId="1" applyNumberFormat="1" applyFont="1" applyBorder="1" applyAlignment="1">
      <alignment horizontal="left"/>
    </xf>
    <xf numFmtId="4" fontId="56" fillId="0" borderId="104" xfId="1" applyNumberFormat="1" applyFont="1" applyBorder="1" applyAlignment="1">
      <alignment horizontal="center" vertical="center"/>
    </xf>
    <xf numFmtId="1" fontId="33" fillId="0" borderId="104" xfId="1" applyNumberFormat="1" applyFont="1" applyBorder="1" applyAlignment="1">
      <alignment horizontal="left" vertical="center" indent="1"/>
    </xf>
    <xf numFmtId="4" fontId="33" fillId="0" borderId="104" xfId="1" applyNumberFormat="1" applyFont="1" applyBorder="1" applyAlignment="1">
      <alignment horizontal="center"/>
    </xf>
    <xf numFmtId="4" fontId="33" fillId="0" borderId="104" xfId="1" applyNumberFormat="1" applyFont="1" applyBorder="1" applyAlignment="1">
      <alignment horizontal="right"/>
    </xf>
    <xf numFmtId="4" fontId="33" fillId="0" borderId="104" xfId="1" applyNumberFormat="1" applyFont="1" applyBorder="1" applyAlignment="1">
      <alignment horizontal="right" indent="3"/>
    </xf>
    <xf numFmtId="4" fontId="33" fillId="0" borderId="104" xfId="1" applyNumberFormat="1" applyFont="1" applyBorder="1" applyAlignment="1">
      <alignment horizontal="left" indent="3"/>
    </xf>
    <xf numFmtId="175" fontId="33" fillId="0" borderId="104" xfId="1" applyNumberFormat="1" applyFont="1" applyBorder="1" applyAlignment="1">
      <alignment horizontal="center" vertical="center"/>
    </xf>
    <xf numFmtId="0" fontId="2" fillId="19" borderId="44" xfId="6" applyFont="1" applyFill="1" applyAlignment="1">
      <alignment horizontal="left" vertical="center"/>
    </xf>
    <xf numFmtId="49" fontId="33" fillId="0" borderId="104" xfId="1" applyNumberFormat="1" applyFont="1" applyBorder="1" applyAlignment="1">
      <alignment horizontal="right" vertical="center" wrapText="1"/>
    </xf>
    <xf numFmtId="0" fontId="33" fillId="0" borderId="104" xfId="1" applyNumberFormat="1" applyFont="1" applyBorder="1" applyAlignment="1">
      <alignment horizontal="left" vertical="center"/>
    </xf>
    <xf numFmtId="49" fontId="33" fillId="0" borderId="104" xfId="1" applyNumberFormat="1" applyFont="1" applyBorder="1" applyAlignment="1">
      <alignment horizontal="left" vertical="center" wrapText="1" indent="4"/>
    </xf>
    <xf numFmtId="3" fontId="56" fillId="0" borderId="104" xfId="5" applyNumberFormat="1" applyFont="1" applyBorder="1" applyAlignment="1">
      <alignment horizontal="center" vertical="center"/>
    </xf>
    <xf numFmtId="4" fontId="33" fillId="0" borderId="104" xfId="1" applyNumberFormat="1" applyFont="1" applyBorder="1" applyAlignment="1">
      <alignment horizontal="left" indent="4"/>
    </xf>
    <xf numFmtId="49" fontId="33" fillId="0" borderId="104" xfId="1" applyNumberFormat="1" applyFont="1" applyBorder="1" applyAlignment="1">
      <alignment horizontal="left" vertical="center" wrapText="1" indent="3"/>
    </xf>
    <xf numFmtId="1" fontId="33" fillId="0" borderId="126" xfId="1" applyNumberFormat="1" applyFont="1" applyBorder="1" applyAlignment="1">
      <alignment horizontal="center" vertical="center"/>
    </xf>
    <xf numFmtId="4" fontId="33" fillId="0" borderId="126" xfId="1" applyNumberFormat="1" applyFont="1" applyBorder="1" applyAlignment="1">
      <alignment horizontal="center" vertical="center"/>
    </xf>
    <xf numFmtId="49" fontId="33" fillId="0" borderId="104" xfId="1" applyNumberFormat="1" applyFont="1" applyBorder="1" applyAlignment="1">
      <alignment horizontal="left" vertical="top" wrapText="1"/>
    </xf>
    <xf numFmtId="4" fontId="33" fillId="0" borderId="104" xfId="1" applyNumberFormat="1" applyFont="1" applyBorder="1" applyAlignment="1">
      <alignment horizontal="left" indent="2"/>
    </xf>
    <xf numFmtId="4" fontId="33" fillId="0" borderId="104" xfId="1" applyNumberFormat="1" applyFont="1" applyBorder="1" applyAlignment="1">
      <alignment horizontal="left" vertical="center" wrapText="1"/>
    </xf>
    <xf numFmtId="4" fontId="33" fillId="0" borderId="104" xfId="1" applyNumberFormat="1" applyFont="1" applyBorder="1" applyAlignment="1">
      <alignment vertical="center"/>
    </xf>
    <xf numFmtId="4" fontId="2" fillId="0" borderId="104" xfId="6" applyNumberFormat="1" applyFont="1" applyBorder="1" applyAlignment="1" applyProtection="1">
      <alignment horizontal="center" vertical="center"/>
      <protection locked="0"/>
    </xf>
    <xf numFmtId="0" fontId="56" fillId="0" borderId="104" xfId="5" applyFont="1" applyBorder="1" applyAlignment="1">
      <alignment vertical="center"/>
    </xf>
    <xf numFmtId="4" fontId="2" fillId="19" borderId="64" xfId="6" applyNumberFormat="1" applyFont="1" applyFill="1" applyBorder="1" applyAlignment="1">
      <alignment horizontal="right"/>
    </xf>
    <xf numFmtId="2" fontId="58" fillId="0" borderId="44" xfId="6" applyNumberFormat="1" applyAlignment="1">
      <alignment vertical="center"/>
    </xf>
    <xf numFmtId="3" fontId="2" fillId="19" borderId="64" xfId="6" applyNumberFormat="1" applyFont="1" applyFill="1" applyBorder="1" applyAlignment="1">
      <alignment horizontal="center" vertical="center"/>
    </xf>
    <xf numFmtId="49" fontId="2" fillId="19" borderId="44" xfId="6" applyNumberFormat="1" applyFont="1" applyFill="1" applyAlignment="1">
      <alignment horizontal="left" vertical="center"/>
    </xf>
    <xf numFmtId="49" fontId="2" fillId="19" borderId="44" xfId="6" applyNumberFormat="1" applyFont="1" applyFill="1" applyAlignment="1">
      <alignment horizontal="right" vertical="center"/>
    </xf>
    <xf numFmtId="49" fontId="2" fillId="19" borderId="111" xfId="6" applyNumberFormat="1" applyFont="1" applyFill="1" applyBorder="1" applyAlignment="1">
      <alignment horizontal="left" vertical="center"/>
    </xf>
    <xf numFmtId="164" fontId="2" fillId="19" borderId="111" xfId="6" applyNumberFormat="1" applyFont="1" applyFill="1" applyBorder="1" applyAlignment="1">
      <alignment horizontal="center" vertical="center"/>
    </xf>
    <xf numFmtId="1" fontId="2" fillId="19" borderId="111" xfId="6" applyNumberFormat="1" applyFont="1" applyFill="1" applyBorder="1" applyAlignment="1">
      <alignment horizontal="center" vertical="center"/>
    </xf>
    <xf numFmtId="2" fontId="2" fillId="19" borderId="111" xfId="6" applyNumberFormat="1" applyFont="1" applyFill="1" applyBorder="1" applyAlignment="1">
      <alignment horizontal="center" vertical="center"/>
    </xf>
    <xf numFmtId="2" fontId="5" fillId="19" borderId="112" xfId="6" applyNumberFormat="1" applyFont="1" applyFill="1" applyBorder="1" applyAlignment="1">
      <alignment horizontal="center" vertical="center"/>
    </xf>
    <xf numFmtId="49" fontId="2" fillId="19" borderId="53" xfId="6" applyNumberFormat="1" applyFont="1" applyFill="1" applyBorder="1" applyAlignment="1">
      <alignment horizontal="left" vertical="center"/>
    </xf>
    <xf numFmtId="0" fontId="2" fillId="19" borderId="53" xfId="6" applyFont="1" applyFill="1" applyBorder="1" applyAlignment="1">
      <alignment horizontal="center" vertical="center"/>
    </xf>
    <xf numFmtId="1" fontId="2" fillId="19" borderId="53" xfId="6" applyNumberFormat="1" applyFont="1" applyFill="1" applyBorder="1" applyAlignment="1">
      <alignment horizontal="center" vertical="center"/>
    </xf>
    <xf numFmtId="2" fontId="2" fillId="19" borderId="53" xfId="6" applyNumberFormat="1" applyFont="1" applyFill="1" applyBorder="1" applyAlignment="1">
      <alignment horizontal="center" vertical="center"/>
    </xf>
    <xf numFmtId="2" fontId="5" fillId="19" borderId="53" xfId="6" applyNumberFormat="1" applyFont="1" applyFill="1" applyBorder="1" applyAlignment="1">
      <alignment horizontal="center" vertical="center"/>
    </xf>
    <xf numFmtId="0" fontId="2" fillId="24" borderId="27" xfId="6" applyFont="1" applyFill="1" applyBorder="1" applyAlignment="1">
      <alignment horizontal="center" vertical="center"/>
    </xf>
    <xf numFmtId="173" fontId="2" fillId="19" borderId="27" xfId="6" applyNumberFormat="1" applyFont="1" applyFill="1" applyBorder="1" applyAlignment="1">
      <alignment horizontal="center" vertical="center"/>
    </xf>
    <xf numFmtId="1" fontId="2" fillId="19" borderId="27" xfId="6" applyNumberFormat="1" applyFont="1" applyFill="1" applyBorder="1" applyAlignment="1">
      <alignment horizontal="center" vertical="center"/>
    </xf>
    <xf numFmtId="174" fontId="2" fillId="19" borderId="27" xfId="6" applyNumberFormat="1" applyFont="1" applyFill="1" applyBorder="1" applyAlignment="1">
      <alignment horizontal="center" vertical="center"/>
    </xf>
    <xf numFmtId="0" fontId="33" fillId="0" borderId="44" xfId="1" quotePrefix="1" applyNumberFormat="1" applyFont="1" applyAlignment="1">
      <alignment horizontal="left" vertical="center"/>
    </xf>
    <xf numFmtId="1" fontId="2" fillId="0" borderId="104" xfId="0" applyNumberFormat="1" applyFont="1" applyBorder="1" applyAlignment="1">
      <alignment horizontal="center" vertical="center"/>
    </xf>
    <xf numFmtId="2" fontId="5" fillId="0" borderId="33" xfId="0" applyNumberFormat="1" applyFont="1" applyBorder="1" applyAlignment="1">
      <alignment horizontal="center" vertical="center"/>
    </xf>
    <xf numFmtId="0" fontId="2" fillId="0" borderId="108" xfId="0" applyFont="1" applyBorder="1" applyAlignment="1">
      <alignment vertical="center"/>
    </xf>
    <xf numFmtId="0" fontId="46" fillId="0" borderId="104" xfId="0" applyFont="1" applyFill="1" applyBorder="1" applyAlignment="1" applyProtection="1">
      <alignment vertical="center" wrapText="1"/>
      <protection locked="0"/>
    </xf>
    <xf numFmtId="49" fontId="2" fillId="0" borderId="64" xfId="6" applyNumberFormat="1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vertical="center"/>
    </xf>
    <xf numFmtId="0" fontId="45" fillId="0" borderId="3" xfId="0" applyFont="1" applyBorder="1" applyAlignment="1">
      <alignment vertical="center"/>
    </xf>
    <xf numFmtId="2" fontId="6" fillId="0" borderId="5" xfId="0" quotePrefix="1" applyNumberFormat="1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6" fillId="0" borderId="6" xfId="0" applyFont="1" applyBorder="1" applyAlignment="1">
      <alignment vertical="center"/>
    </xf>
    <xf numFmtId="0" fontId="35" fillId="4" borderId="7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vertical="center"/>
    </xf>
    <xf numFmtId="0" fontId="36" fillId="0" borderId="9" xfId="0" applyFont="1" applyBorder="1" applyAlignment="1">
      <alignment vertical="center"/>
    </xf>
    <xf numFmtId="0" fontId="30" fillId="0" borderId="12" xfId="0" applyFont="1" applyBorder="1" applyAlignment="1">
      <alignment horizontal="center" vertical="center"/>
    </xf>
    <xf numFmtId="0" fontId="36" fillId="0" borderId="13" xfId="0" applyFont="1" applyBorder="1" applyAlignment="1">
      <alignment vertical="center"/>
    </xf>
    <xf numFmtId="0" fontId="36" fillId="0" borderId="14" xfId="0" applyFont="1" applyBorder="1" applyAlignment="1">
      <alignment vertical="center"/>
    </xf>
    <xf numFmtId="0" fontId="36" fillId="0" borderId="15" xfId="0" applyFont="1" applyBorder="1" applyAlignment="1">
      <alignment vertical="center"/>
    </xf>
    <xf numFmtId="0" fontId="36" fillId="0" borderId="16" xfId="0" applyFont="1" applyBorder="1" applyAlignment="1">
      <alignment vertical="center"/>
    </xf>
    <xf numFmtId="0" fontId="36" fillId="0" borderId="60" xfId="0" applyFont="1" applyBorder="1" applyAlignment="1">
      <alignment vertical="center"/>
    </xf>
    <xf numFmtId="0" fontId="36" fillId="0" borderId="65" xfId="0" applyFont="1" applyBorder="1" applyAlignment="1">
      <alignment vertical="center"/>
    </xf>
    <xf numFmtId="0" fontId="36" fillId="0" borderId="17" xfId="0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19" xfId="0" applyFont="1" applyBorder="1" applyAlignment="1">
      <alignment vertical="center"/>
    </xf>
    <xf numFmtId="0" fontId="8" fillId="0" borderId="26" xfId="0" applyFont="1" applyBorder="1" applyAlignment="1">
      <alignment horizontal="center" vertical="center" textRotation="90"/>
    </xf>
    <xf numFmtId="0" fontId="4" fillId="0" borderId="25" xfId="0" applyFont="1" applyBorder="1" applyAlignment="1">
      <alignment vertical="center"/>
    </xf>
    <xf numFmtId="0" fontId="10" fillId="3" borderId="34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2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0" fillId="8" borderId="3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6" fillId="3" borderId="26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6" fillId="3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8" fillId="0" borderId="26" xfId="0" applyFont="1" applyBorder="1" applyAlignment="1">
      <alignment horizontal="center" vertical="center" textRotation="90" wrapText="1"/>
    </xf>
    <xf numFmtId="0" fontId="8" fillId="0" borderId="47" xfId="0" applyFont="1" applyBorder="1" applyAlignment="1">
      <alignment horizontal="center" vertical="center" textRotation="90"/>
    </xf>
    <xf numFmtId="4" fontId="8" fillId="0" borderId="17" xfId="0" applyNumberFormat="1" applyFont="1" applyBorder="1" applyAlignment="1">
      <alignment horizontal="left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4" fontId="8" fillId="0" borderId="28" xfId="0" applyNumberFormat="1" applyFont="1" applyBorder="1" applyAlignment="1">
      <alignment horizontal="left" vertical="center"/>
    </xf>
    <xf numFmtId="4" fontId="13" fillId="3" borderId="28" xfId="0" applyNumberFormat="1" applyFont="1" applyFill="1" applyBorder="1" applyAlignment="1">
      <alignment horizontal="left" vertical="center"/>
    </xf>
    <xf numFmtId="4" fontId="13" fillId="3" borderId="28" xfId="0" applyNumberFormat="1" applyFont="1" applyFill="1" applyBorder="1" applyAlignment="1">
      <alignment horizontal="center" vertical="center"/>
    </xf>
    <xf numFmtId="0" fontId="2" fillId="24" borderId="28" xfId="6" applyFont="1" applyFill="1" applyBorder="1" applyAlignment="1">
      <alignment horizontal="center" vertical="center"/>
    </xf>
    <xf numFmtId="0" fontId="4" fillId="19" borderId="30" xfId="6" applyFont="1" applyFill="1" applyBorder="1" applyAlignment="1">
      <alignment vertical="center"/>
    </xf>
    <xf numFmtId="0" fontId="2" fillId="24" borderId="61" xfId="6" applyFont="1" applyFill="1" applyBorder="1" applyAlignment="1">
      <alignment horizontal="center" vertical="center"/>
    </xf>
    <xf numFmtId="0" fontId="4" fillId="19" borderId="50" xfId="6" applyFont="1" applyFill="1" applyBorder="1" applyAlignment="1">
      <alignment vertical="center"/>
    </xf>
    <xf numFmtId="0" fontId="3" fillId="2" borderId="52" xfId="6" applyFont="1" applyFill="1" applyBorder="1" applyAlignment="1">
      <alignment horizontal="center" vertical="center"/>
    </xf>
    <xf numFmtId="0" fontId="4" fillId="20" borderId="53" xfId="6" applyFont="1" applyFill="1" applyBorder="1" applyAlignment="1">
      <alignment vertical="center"/>
    </xf>
    <xf numFmtId="0" fontId="4" fillId="20" borderId="54" xfId="6" applyFont="1" applyFill="1" applyBorder="1" applyAlignment="1">
      <alignment vertical="center"/>
    </xf>
    <xf numFmtId="2" fontId="5" fillId="19" borderId="67" xfId="6" applyNumberFormat="1" applyFont="1" applyFill="1" applyBorder="1" applyAlignment="1">
      <alignment horizontal="center" vertical="center" wrapText="1"/>
    </xf>
    <xf numFmtId="0" fontId="58" fillId="19" borderId="44" xfId="6" applyFill="1" applyAlignment="1">
      <alignment vertical="center" wrapText="1"/>
    </xf>
    <xf numFmtId="0" fontId="4" fillId="19" borderId="33" xfId="6" applyFont="1" applyFill="1" applyBorder="1" applyAlignment="1">
      <alignment vertical="center" wrapText="1"/>
    </xf>
    <xf numFmtId="0" fontId="53" fillId="4" borderId="7" xfId="6" applyFont="1" applyFill="1" applyBorder="1" applyAlignment="1">
      <alignment horizontal="center" vertical="center"/>
    </xf>
    <xf numFmtId="0" fontId="4" fillId="21" borderId="38" xfId="6" applyFont="1" applyFill="1" applyBorder="1" applyAlignment="1">
      <alignment vertical="center"/>
    </xf>
    <xf numFmtId="0" fontId="4" fillId="21" borderId="9" xfId="6" applyFont="1" applyFill="1" applyBorder="1" applyAlignment="1">
      <alignment vertical="center"/>
    </xf>
    <xf numFmtId="0" fontId="50" fillId="19" borderId="56" xfId="6" applyFont="1" applyFill="1" applyBorder="1" applyAlignment="1">
      <alignment horizontal="center" vertical="center"/>
    </xf>
    <xf numFmtId="0" fontId="4" fillId="19" borderId="57" xfId="6" applyFont="1" applyFill="1" applyBorder="1" applyAlignment="1">
      <alignment vertical="center"/>
    </xf>
    <xf numFmtId="0" fontId="4" fillId="19" borderId="58" xfId="6" applyFont="1" applyFill="1" applyBorder="1" applyAlignment="1">
      <alignment vertical="center"/>
    </xf>
    <xf numFmtId="0" fontId="4" fillId="19" borderId="60" xfId="6" applyFont="1" applyFill="1" applyBorder="1" applyAlignment="1">
      <alignment vertical="center"/>
    </xf>
    <xf numFmtId="0" fontId="58" fillId="19" borderId="44" xfId="6" applyFill="1" applyAlignment="1">
      <alignment vertical="center"/>
    </xf>
    <xf numFmtId="0" fontId="4" fillId="19" borderId="65" xfId="6" applyFont="1" applyFill="1" applyBorder="1" applyAlignment="1">
      <alignment vertical="center"/>
    </xf>
    <xf numFmtId="0" fontId="4" fillId="19" borderId="63" xfId="6" applyFont="1" applyFill="1" applyBorder="1" applyAlignment="1">
      <alignment vertical="center"/>
    </xf>
    <xf numFmtId="0" fontId="4" fillId="19" borderId="66" xfId="6" applyFont="1" applyFill="1" applyBorder="1" applyAlignment="1">
      <alignment vertical="center"/>
    </xf>
    <xf numFmtId="0" fontId="4" fillId="19" borderId="62" xfId="6" applyFont="1" applyFill="1" applyBorder="1" applyAlignment="1">
      <alignment vertical="center"/>
    </xf>
    <xf numFmtId="0" fontId="4" fillId="19" borderId="88" xfId="6" applyFont="1" applyFill="1" applyBorder="1" applyAlignment="1">
      <alignment vertical="center"/>
    </xf>
    <xf numFmtId="4" fontId="8" fillId="5" borderId="44" xfId="0" applyNumberFormat="1" applyFont="1" applyFill="1" applyBorder="1" applyAlignment="1">
      <alignment horizontal="center" vertical="center"/>
    </xf>
    <xf numFmtId="4" fontId="8" fillId="0" borderId="63" xfId="0" applyNumberFormat="1" applyFont="1" applyBorder="1" applyAlignment="1">
      <alignment horizontal="left" vertical="center"/>
    </xf>
    <xf numFmtId="0" fontId="4" fillId="0" borderId="66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4" fontId="8" fillId="0" borderId="56" xfId="0" applyNumberFormat="1" applyFont="1" applyBorder="1" applyAlignment="1">
      <alignment horizontal="left" vertical="center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4" fontId="8" fillId="5" borderId="122" xfId="0" applyNumberFormat="1" applyFont="1" applyFill="1" applyBorder="1" applyAlignment="1">
      <alignment horizontal="center" vertical="center"/>
    </xf>
    <xf numFmtId="0" fontId="4" fillId="0" borderId="122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5" fontId="6" fillId="5" borderId="7" xfId="0" quotePrefix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6" fillId="17" borderId="116" xfId="0" applyFont="1" applyFill="1" applyBorder="1" applyAlignment="1">
      <alignment horizontal="center" vertical="center"/>
    </xf>
    <xf numFmtId="0" fontId="4" fillId="18" borderId="116" xfId="0" applyFont="1" applyFill="1" applyBorder="1" applyAlignment="1">
      <alignment vertical="center"/>
    </xf>
    <xf numFmtId="0" fontId="6" fillId="17" borderId="116" xfId="0" applyFont="1" applyFill="1" applyBorder="1" applyAlignment="1">
      <alignment horizontal="center" vertical="center" shrinkToFit="1"/>
    </xf>
    <xf numFmtId="0" fontId="6" fillId="17" borderId="116" xfId="0" applyFont="1" applyFill="1" applyBorder="1" applyAlignment="1">
      <alignment horizontal="center" vertical="center" wrapText="1"/>
    </xf>
    <xf numFmtId="0" fontId="8" fillId="17" borderId="117" xfId="0" applyFont="1" applyFill="1" applyBorder="1" applyAlignment="1">
      <alignment horizontal="center" vertical="center" textRotation="90"/>
    </xf>
    <xf numFmtId="0" fontId="4" fillId="18" borderId="60" xfId="0" applyFont="1" applyFill="1" applyBorder="1" applyAlignment="1">
      <alignment vertical="center"/>
    </xf>
    <xf numFmtId="4" fontId="8" fillId="5" borderId="57" xfId="0" applyNumberFormat="1" applyFont="1" applyFill="1" applyBorder="1" applyAlignment="1">
      <alignment horizontal="left" vertical="center"/>
    </xf>
    <xf numFmtId="4" fontId="8" fillId="5" borderId="44" xfId="0" applyNumberFormat="1" applyFont="1" applyFill="1" applyBorder="1" applyAlignment="1">
      <alignment horizontal="left" vertical="center"/>
    </xf>
    <xf numFmtId="0" fontId="8" fillId="15" borderId="61" xfId="0" applyFont="1" applyFill="1" applyBorder="1" applyAlignment="1">
      <alignment horizontal="center" vertical="center" textRotation="90" wrapText="1"/>
    </xf>
    <xf numFmtId="0" fontId="4" fillId="16" borderId="64" xfId="0" applyFont="1" applyFill="1" applyBorder="1" applyAlignment="1">
      <alignment vertical="center"/>
    </xf>
    <xf numFmtId="0" fontId="4" fillId="16" borderId="50" xfId="0" applyFont="1" applyFill="1" applyBorder="1" applyAlignment="1">
      <alignment vertical="center"/>
    </xf>
    <xf numFmtId="0" fontId="8" fillId="13" borderId="118" xfId="0" applyFont="1" applyFill="1" applyBorder="1" applyAlignment="1">
      <alignment horizontal="center" vertical="center" textRotation="90" wrapText="1"/>
    </xf>
    <xf numFmtId="0" fontId="4" fillId="13" borderId="64" xfId="0" applyFont="1" applyFill="1" applyBorder="1" applyAlignment="1">
      <alignment vertical="center"/>
    </xf>
    <xf numFmtId="0" fontId="8" fillId="14" borderId="119" xfId="0" applyFont="1" applyFill="1" applyBorder="1" applyAlignment="1">
      <alignment horizontal="center" vertical="center" textRotation="90" wrapText="1"/>
    </xf>
    <xf numFmtId="0" fontId="4" fillId="13" borderId="65" xfId="0" applyFont="1" applyFill="1" applyBorder="1" applyAlignment="1">
      <alignment vertical="center"/>
    </xf>
    <xf numFmtId="0" fontId="8" fillId="14" borderId="61" xfId="0" applyFont="1" applyFill="1" applyBorder="1" applyAlignment="1">
      <alignment horizontal="center" vertical="center" textRotation="90" wrapText="1"/>
    </xf>
    <xf numFmtId="0" fontId="8" fillId="14" borderId="64" xfId="0" applyFont="1" applyFill="1" applyBorder="1" applyAlignment="1">
      <alignment horizontal="center" vertical="center" textRotation="90" wrapText="1"/>
    </xf>
    <xf numFmtId="0" fontId="8" fillId="14" borderId="50" xfId="0" applyFont="1" applyFill="1" applyBorder="1" applyAlignment="1">
      <alignment horizontal="center" vertical="center" textRotation="90" wrapText="1"/>
    </xf>
    <xf numFmtId="0" fontId="8" fillId="13" borderId="61" xfId="0" applyFont="1" applyFill="1" applyBorder="1" applyAlignment="1">
      <alignment horizontal="center" vertical="center" textRotation="90" wrapText="1"/>
    </xf>
    <xf numFmtId="0" fontId="8" fillId="13" borderId="64" xfId="0" applyFont="1" applyFill="1" applyBorder="1" applyAlignment="1">
      <alignment horizontal="center" vertical="center" textRotation="90" wrapText="1"/>
    </xf>
    <xf numFmtId="0" fontId="8" fillId="13" borderId="50" xfId="0" applyFont="1" applyFill="1" applyBorder="1" applyAlignment="1">
      <alignment horizontal="center" vertical="center" textRotation="90" wrapText="1"/>
    </xf>
    <xf numFmtId="0" fontId="22" fillId="5" borderId="88" xfId="0" applyFont="1" applyFill="1" applyBorder="1" applyAlignment="1">
      <alignment horizontal="right"/>
    </xf>
    <xf numFmtId="0" fontId="21" fillId="5" borderId="88" xfId="0" applyFont="1" applyFill="1" applyBorder="1" applyAlignment="1">
      <alignment horizontal="right"/>
    </xf>
    <xf numFmtId="0" fontId="21" fillId="5" borderId="90" xfId="0" applyFont="1" applyFill="1" applyBorder="1" applyAlignment="1">
      <alignment horizontal="right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2" fontId="21" fillId="5" borderId="93" xfId="0" applyNumberFormat="1" applyFont="1" applyFill="1" applyBorder="1" applyAlignment="1">
      <alignment horizontal="center" vertical="center"/>
    </xf>
    <xf numFmtId="0" fontId="4" fillId="0" borderId="94" xfId="0" applyFont="1" applyBorder="1" applyAlignment="1">
      <alignment vertical="center"/>
    </xf>
    <xf numFmtId="0" fontId="22" fillId="5" borderId="34" xfId="0" applyFont="1" applyFill="1" applyBorder="1" applyAlignment="1">
      <alignment horizontal="center"/>
    </xf>
    <xf numFmtId="0" fontId="22" fillId="5" borderId="28" xfId="0" applyFont="1" applyFill="1" applyBorder="1" applyAlignment="1">
      <alignment horizontal="right"/>
    </xf>
    <xf numFmtId="0" fontId="20" fillId="9" borderId="69" xfId="0" applyFont="1" applyFill="1" applyBorder="1" applyAlignment="1">
      <alignment horizontal="center" vertical="center" wrapText="1"/>
    </xf>
    <xf numFmtId="0" fontId="20" fillId="9" borderId="71" xfId="0" applyFont="1" applyFill="1" applyBorder="1" applyAlignment="1">
      <alignment horizontal="center" vertical="center" wrapText="1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17" fillId="5" borderId="34" xfId="0" applyFont="1" applyFill="1" applyBorder="1" applyAlignment="1">
      <alignment horizontal="center" vertical="center" wrapText="1"/>
    </xf>
    <xf numFmtId="0" fontId="20" fillId="9" borderId="68" xfId="0" applyFont="1" applyFill="1" applyBorder="1" applyAlignment="1">
      <alignment horizontal="center" vertical="center" wrapText="1"/>
    </xf>
    <xf numFmtId="0" fontId="4" fillId="0" borderId="74" xfId="0" applyFont="1" applyBorder="1" applyAlignment="1">
      <alignment vertical="center"/>
    </xf>
    <xf numFmtId="0" fontId="20" fillId="9" borderId="5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55" xfId="0" applyFont="1" applyBorder="1" applyAlignment="1">
      <alignment vertical="center"/>
    </xf>
  </cellXfs>
  <cellStyles count="7">
    <cellStyle name="Normal" xfId="0" builtinId="0"/>
    <cellStyle name="Normal 10 2 2 2 2 15 2 2 3" xfId="3" xr:uid="{3C1039C3-554D-4B1A-BF91-4D99EF30146D}"/>
    <cellStyle name="Normal 18" xfId="4" xr:uid="{62417B5B-907F-481D-B810-3DCCB7FCA438}"/>
    <cellStyle name="Normal 2" xfId="2" xr:uid="{72DAE96A-DFC1-4F05-B637-6293B6F40225}"/>
    <cellStyle name="Normal 2 3" xfId="1" xr:uid="{F8A4FE42-B867-4BEA-ACA1-0FDA027B38B6}"/>
    <cellStyle name="Normal 3" xfId="6" xr:uid="{808EF98E-054D-4C36-9BD7-9F731BF936BF}"/>
    <cellStyle name="Normal_Hoja1 2" xfId="5" xr:uid="{8F1A8064-BB66-4C9F-B817-46C85AF7B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108858</xdr:colOff>
      <xdr:row>5</xdr:row>
      <xdr:rowOff>40821</xdr:rowOff>
    </xdr:from>
    <xdr:to>
      <xdr:col>8</xdr:col>
      <xdr:colOff>588155</xdr:colOff>
      <xdr:row>21</xdr:row>
      <xdr:rowOff>135678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648993-E5BD-8A60-DBC3-BC18802B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858" y="1415142"/>
          <a:ext cx="8276190" cy="31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76200</xdr:rowOff>
    </xdr:from>
    <xdr:ext cx="8953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66875" y="2686050"/>
          <a:ext cx="895350" cy="38100"/>
          <a:chOff x="4898325" y="3780000"/>
          <a:chExt cx="89535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142875</xdr:colOff>
      <xdr:row>29</xdr:row>
      <xdr:rowOff>19050</xdr:rowOff>
    </xdr:from>
    <xdr:ext cx="666750" cy="7429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971675" y="5867400"/>
          <a:ext cx="666750" cy="742950"/>
          <a:chOff x="4974525" y="3446625"/>
          <a:chExt cx="742950" cy="666750"/>
        </a:xfrm>
      </xdr:grpSpPr>
      <xdr:grpSp>
        <xdr:nvGrpSpPr>
          <xdr:cNvPr id="5" name="Shap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 rot="-5400000" flipH="1">
            <a:off x="4974525" y="3446625"/>
            <a:ext cx="742950" cy="666750"/>
            <a:chOff x="1496776" y="3992091"/>
            <a:chExt cx="360000" cy="760472"/>
          </a:xfrm>
        </xdr:grpSpPr>
        <xdr:sp macro="" textlink="">
          <xdr:nvSpPr>
            <xdr:cNvPr id="6" name="Shap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1496776" y="3992091"/>
              <a:ext cx="360000" cy="760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pSpPr/>
          </xdr:nvGrpSpPr>
          <xdr:grpSpPr>
            <a:xfrm flipH="1">
              <a:off x="1496776" y="3992091"/>
              <a:ext cx="360000" cy="404826"/>
              <a:chOff x="2211065" y="2824386"/>
              <a:chExt cx="360000" cy="539767"/>
            </a:xfrm>
          </xdr:grpSpPr>
          <xdr:cxnSp macro="">
            <xdr:nvCxnSpPr>
              <xdr:cNvPr id="8" name="Shape 7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CxnSpPr/>
            </xdr:nvCxnSpPr>
            <xdr:spPr>
              <a:xfrm>
                <a:off x="2217505" y="2824386"/>
                <a:ext cx="0" cy="539767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9" name="Shape 8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0" name="Shap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276225</xdr:colOff>
      <xdr:row>16</xdr:row>
      <xdr:rowOff>76200</xdr:rowOff>
    </xdr:from>
    <xdr:ext cx="89535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1666875" y="3448050"/>
          <a:ext cx="895350" cy="38100"/>
          <a:chOff x="4898325" y="3780000"/>
          <a:chExt cx="895350" cy="0"/>
        </a:xfrm>
      </xdr:grpSpPr>
      <xdr:cxnSp macro="">
        <xdr:nvCxnSpPr>
          <xdr:cNvPr id="12" name="Shape 3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238125</xdr:colOff>
      <xdr:row>20</xdr:row>
      <xdr:rowOff>133350</xdr:rowOff>
    </xdr:from>
    <xdr:ext cx="781050" cy="78105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628775" y="4267200"/>
          <a:ext cx="781050" cy="781050"/>
          <a:chOff x="4955475" y="3389475"/>
          <a:chExt cx="781050" cy="781050"/>
        </a:xfrm>
      </xdr:grpSpPr>
      <xdr:grpSp>
        <xdr:nvGrpSpPr>
          <xdr:cNvPr id="14" name="Shape 10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GrpSpPr/>
        </xdr:nvGrpSpPr>
        <xdr:grpSpPr>
          <a:xfrm>
            <a:off x="4955475" y="3389475"/>
            <a:ext cx="781050" cy="781050"/>
            <a:chOff x="2472354" y="4077907"/>
            <a:chExt cx="838531" cy="769816"/>
          </a:xfrm>
        </xdr:grpSpPr>
        <xdr:sp macro="" textlink="">
          <xdr:nvSpPr>
            <xdr:cNvPr id="15" name="Shape 5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1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17" name="Shape 12">
                <a:extLst>
                  <a:ext uri="{FF2B5EF4-FFF2-40B4-BE49-F238E27FC236}">
                    <a16:creationId xmlns:a16="http://schemas.microsoft.com/office/drawing/2014/main" id="{00000000-0008-0000-0100-000011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18" name="Shape 13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" name="Shape 14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20" name="Shape 15">
                <a:extLst>
                  <a:ext uri="{FF2B5EF4-FFF2-40B4-BE49-F238E27FC236}">
                    <a16:creationId xmlns:a16="http://schemas.microsoft.com/office/drawing/2014/main" id="{00000000-0008-0000-0100-000014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21" name="Shape 16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" name="Shape 17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23" name="Shape 18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24" name="Shape 19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238125</xdr:colOff>
      <xdr:row>36</xdr:row>
      <xdr:rowOff>133350</xdr:rowOff>
    </xdr:from>
    <xdr:ext cx="781050" cy="59055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1628775" y="7315200"/>
          <a:ext cx="781050" cy="590550"/>
          <a:chOff x="4955475" y="3484725"/>
          <a:chExt cx="781050" cy="590550"/>
        </a:xfrm>
      </xdr:grpSpPr>
      <xdr:grpSp>
        <xdr:nvGrpSpPr>
          <xdr:cNvPr id="26" name="Shape 20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GrpSpPr/>
        </xdr:nvGrpSpPr>
        <xdr:grpSpPr>
          <a:xfrm>
            <a:off x="4955475" y="3484725"/>
            <a:ext cx="781050" cy="590550"/>
            <a:chOff x="2472354" y="4077907"/>
            <a:chExt cx="838531" cy="769816"/>
          </a:xfrm>
        </xdr:grpSpPr>
        <xdr:sp macro="" textlink="">
          <xdr:nvSpPr>
            <xdr:cNvPr id="27" name="Shape 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" name="Shape 21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29" name="Shape 22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30" name="Shape 23">
                  <a:extLst>
                    <a:ext uri="{FF2B5EF4-FFF2-40B4-BE49-F238E27FC236}">
                      <a16:creationId xmlns:a16="http://schemas.microsoft.com/office/drawing/2014/main" id="{00000000-0008-0000-0100-00001E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" name="Shape 24">
                  <a:extLst>
                    <a:ext uri="{FF2B5EF4-FFF2-40B4-BE49-F238E27FC236}">
                      <a16:creationId xmlns:a16="http://schemas.microsoft.com/office/drawing/2014/main" id="{00000000-0008-0000-0100-00001F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32" name="Shape 25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33" name="Shape 26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" name="Shape 27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35" name="Shape 28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36" name="Shape 29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44</xdr:row>
      <xdr:rowOff>66675</xdr:rowOff>
    </xdr:from>
    <xdr:ext cx="1314450" cy="31432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1438275" y="8772525"/>
          <a:ext cx="1314450" cy="314325"/>
          <a:chOff x="4688775" y="3622838"/>
          <a:chExt cx="1314450" cy="314325"/>
        </a:xfrm>
      </xdr:grpSpPr>
      <xdr:grpSp>
        <xdr:nvGrpSpPr>
          <xdr:cNvPr id="38" name="Shape 30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39" name="Shape 5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1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41" name="Shape 32">
                <a:extLst>
                  <a:ext uri="{FF2B5EF4-FFF2-40B4-BE49-F238E27FC236}">
                    <a16:creationId xmlns:a16="http://schemas.microsoft.com/office/drawing/2014/main" id="{00000000-0008-0000-0100-000029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42" name="Shape 33">
                <a:extLst>
                  <a:ext uri="{FF2B5EF4-FFF2-40B4-BE49-F238E27FC236}">
                    <a16:creationId xmlns:a16="http://schemas.microsoft.com/office/drawing/2014/main" id="{00000000-0008-0000-0100-00002A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34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54</xdr:row>
      <xdr:rowOff>66675</xdr:rowOff>
    </xdr:from>
    <xdr:ext cx="1314450" cy="31432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1438275" y="10677525"/>
          <a:ext cx="1314450" cy="314325"/>
          <a:chOff x="4688775" y="3622838"/>
          <a:chExt cx="1314450" cy="314325"/>
        </a:xfrm>
      </xdr:grpSpPr>
      <xdr:grpSp>
        <xdr:nvGrpSpPr>
          <xdr:cNvPr id="45" name="Shape 3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46" name="Shape 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48" name="Shape 3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49" name="Shape 38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50" name="Shape 39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65</xdr:row>
      <xdr:rowOff>66675</xdr:rowOff>
    </xdr:from>
    <xdr:ext cx="1314450" cy="314325"/>
    <xdr:grpSp>
      <xdr:nvGrpSpPr>
        <xdr:cNvPr id="51" name="Shape 2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1438275" y="12773025"/>
          <a:ext cx="1314450" cy="314325"/>
          <a:chOff x="4688775" y="3622838"/>
          <a:chExt cx="1314450" cy="314325"/>
        </a:xfrm>
      </xdr:grpSpPr>
      <xdr:grpSp>
        <xdr:nvGrpSpPr>
          <xdr:cNvPr id="52" name="Shape 4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53" name="Shape 5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" name="Shape 41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55" name="Shape 42">
                <a:extLst>
                  <a:ext uri="{FF2B5EF4-FFF2-40B4-BE49-F238E27FC236}">
                    <a16:creationId xmlns:a16="http://schemas.microsoft.com/office/drawing/2014/main" id="{00000000-0008-0000-0100-000037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56" name="Shape 43">
                <a:extLst>
                  <a:ext uri="{FF2B5EF4-FFF2-40B4-BE49-F238E27FC236}">
                    <a16:creationId xmlns:a16="http://schemas.microsoft.com/office/drawing/2014/main" id="{00000000-0008-0000-0100-000038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57" name="Shape 44">
              <a:extLst>
                <a:ext uri="{FF2B5EF4-FFF2-40B4-BE49-F238E27FC236}">
                  <a16:creationId xmlns:a16="http://schemas.microsoft.com/office/drawing/2014/main" id="{00000000-0008-0000-0100-000039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238125</xdr:colOff>
      <xdr:row>69</xdr:row>
      <xdr:rowOff>133350</xdr:rowOff>
    </xdr:from>
    <xdr:ext cx="781050" cy="59055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pSpPr/>
      </xdr:nvGrpSpPr>
      <xdr:grpSpPr>
        <a:xfrm>
          <a:off x="1628775" y="13601700"/>
          <a:ext cx="781050" cy="590550"/>
          <a:chOff x="4955475" y="3484725"/>
          <a:chExt cx="781050" cy="590550"/>
        </a:xfrm>
      </xdr:grpSpPr>
      <xdr:grpSp>
        <xdr:nvGrpSpPr>
          <xdr:cNvPr id="59" name="Shape 45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GrpSpPr/>
        </xdr:nvGrpSpPr>
        <xdr:grpSpPr>
          <a:xfrm>
            <a:off x="4955475" y="3484725"/>
            <a:ext cx="781050" cy="590550"/>
            <a:chOff x="2472354" y="4077907"/>
            <a:chExt cx="838531" cy="769816"/>
          </a:xfrm>
        </xdr:grpSpPr>
        <xdr:sp macro="" textlink="">
          <xdr:nvSpPr>
            <xdr:cNvPr id="60" name="Shape 5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" name="Shape 46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62" name="Shape 47">
                <a:extLst>
                  <a:ext uri="{FF2B5EF4-FFF2-40B4-BE49-F238E27FC236}">
                    <a16:creationId xmlns:a16="http://schemas.microsoft.com/office/drawing/2014/main" id="{00000000-0008-0000-0100-00003E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63" name="Shape 48">
                  <a:extLst>
                    <a:ext uri="{FF2B5EF4-FFF2-40B4-BE49-F238E27FC236}">
                      <a16:creationId xmlns:a16="http://schemas.microsoft.com/office/drawing/2014/main" id="{00000000-0008-0000-0100-00003F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" name="Shape 49">
                  <a:extLst>
                    <a:ext uri="{FF2B5EF4-FFF2-40B4-BE49-F238E27FC236}">
                      <a16:creationId xmlns:a16="http://schemas.microsoft.com/office/drawing/2014/main" id="{00000000-0008-0000-0100-000040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65" name="Shape 50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66" name="Shape 51">
                  <a:extLst>
                    <a:ext uri="{FF2B5EF4-FFF2-40B4-BE49-F238E27FC236}">
                      <a16:creationId xmlns:a16="http://schemas.microsoft.com/office/drawing/2014/main" id="{00000000-0008-0000-0100-000042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" name="Shape 52">
                  <a:extLst>
                    <a:ext uri="{FF2B5EF4-FFF2-40B4-BE49-F238E27FC236}">
                      <a16:creationId xmlns:a16="http://schemas.microsoft.com/office/drawing/2014/main" id="{00000000-0008-0000-0100-000043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68" name="Shape 53">
              <a:extLst>
                <a:ext uri="{FF2B5EF4-FFF2-40B4-BE49-F238E27FC236}">
                  <a16:creationId xmlns:a16="http://schemas.microsoft.com/office/drawing/2014/main" id="{00000000-0008-0000-0100-000044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69" name="Shape 54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66675</xdr:colOff>
      <xdr:row>75</xdr:row>
      <xdr:rowOff>133350</xdr:rowOff>
    </xdr:from>
    <xdr:ext cx="1314450" cy="5905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1457325" y="14744700"/>
          <a:ext cx="1314450" cy="590550"/>
          <a:chOff x="4688775" y="3484725"/>
          <a:chExt cx="1314450" cy="590550"/>
        </a:xfrm>
      </xdr:grpSpPr>
      <xdr:grpSp>
        <xdr:nvGrpSpPr>
          <xdr:cNvPr id="71" name="Shape 55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GrpSpPr/>
        </xdr:nvGrpSpPr>
        <xdr:grpSpPr>
          <a:xfrm flipH="1">
            <a:off x="4688775" y="3484725"/>
            <a:ext cx="1314450" cy="590550"/>
            <a:chOff x="1496776" y="3998716"/>
            <a:chExt cx="360922" cy="762371"/>
          </a:xfrm>
        </xdr:grpSpPr>
        <xdr:sp macro="" textlink="">
          <xdr:nvSpPr>
            <xdr:cNvPr id="72" name="Shape 5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SpPr/>
          </xdr:nvSpPr>
          <xdr:spPr>
            <a:xfrm>
              <a:off x="1496776" y="3998716"/>
              <a:ext cx="360900" cy="762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" name="Shape 56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74" name="Shape 57">
                <a:extLst>
                  <a:ext uri="{FF2B5EF4-FFF2-40B4-BE49-F238E27FC236}">
                    <a16:creationId xmlns:a16="http://schemas.microsoft.com/office/drawing/2014/main" id="{00000000-0008-0000-0100-00004A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75" name="Shape 58">
                <a:extLst>
                  <a:ext uri="{FF2B5EF4-FFF2-40B4-BE49-F238E27FC236}">
                    <a16:creationId xmlns:a16="http://schemas.microsoft.com/office/drawing/2014/main" id="{00000000-0008-0000-0100-00004B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76" name="Shape 59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CxnSpPr/>
          </xdr:nvCxnSpPr>
          <xdr:spPr>
            <a:xfrm rot="-5400000">
              <a:off x="1312957" y="4188197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257175</xdr:colOff>
      <xdr:row>81</xdr:row>
      <xdr:rowOff>152400</xdr:rowOff>
    </xdr:from>
    <xdr:ext cx="971550" cy="38100"/>
    <xdr:grpSp>
      <xdr:nvGrpSpPr>
        <xdr:cNvPr id="77" name="Shape 2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pSpPr/>
      </xdr:nvGrpSpPr>
      <xdr:grpSpPr>
        <a:xfrm>
          <a:off x="1647825" y="15906750"/>
          <a:ext cx="971550" cy="38100"/>
          <a:chOff x="5346000" y="3294225"/>
          <a:chExt cx="0" cy="971550"/>
        </a:xfrm>
      </xdr:grpSpPr>
      <xdr:cxnSp macro="">
        <xdr:nvCxnSpPr>
          <xdr:cNvPr id="78" name="Shape 60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219075</xdr:colOff>
      <xdr:row>85</xdr:row>
      <xdr:rowOff>161925</xdr:rowOff>
    </xdr:from>
    <xdr:ext cx="971550" cy="38100"/>
    <xdr:grpSp>
      <xdr:nvGrpSpPr>
        <xdr:cNvPr id="79" name="Shape 2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1609725" y="16678275"/>
          <a:ext cx="971550" cy="38100"/>
          <a:chOff x="5346000" y="3294225"/>
          <a:chExt cx="0" cy="971550"/>
        </a:xfrm>
      </xdr:grpSpPr>
      <xdr:cxnSp macro="">
        <xdr:nvCxnSpPr>
          <xdr:cNvPr id="80" name="Shape 61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209550</xdr:colOff>
      <xdr:row>89</xdr:row>
      <xdr:rowOff>123825</xdr:rowOff>
    </xdr:from>
    <xdr:ext cx="971550" cy="38100"/>
    <xdr:grpSp>
      <xdr:nvGrpSpPr>
        <xdr:cNvPr id="81" name="Shape 2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pSpPr/>
      </xdr:nvGrpSpPr>
      <xdr:grpSpPr>
        <a:xfrm>
          <a:off x="1600200" y="17402175"/>
          <a:ext cx="971550" cy="38100"/>
          <a:chOff x="5346000" y="3294225"/>
          <a:chExt cx="0" cy="971550"/>
        </a:xfrm>
      </xdr:grpSpPr>
      <xdr:cxnSp macro="">
        <xdr:nvCxnSpPr>
          <xdr:cNvPr id="82" name="Shape 6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219075</xdr:colOff>
      <xdr:row>104</xdr:row>
      <xdr:rowOff>161925</xdr:rowOff>
    </xdr:from>
    <xdr:ext cx="971550" cy="38100"/>
    <xdr:grpSp>
      <xdr:nvGrpSpPr>
        <xdr:cNvPr id="83" name="Shape 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1609725" y="20297775"/>
          <a:ext cx="971550" cy="38100"/>
          <a:chOff x="5346000" y="3294225"/>
          <a:chExt cx="0" cy="971550"/>
        </a:xfrm>
      </xdr:grpSpPr>
      <xdr:cxnSp macro="">
        <xdr:nvCxnSpPr>
          <xdr:cNvPr id="84" name="Shape 61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209550</xdr:colOff>
      <xdr:row>108</xdr:row>
      <xdr:rowOff>123825</xdr:rowOff>
    </xdr:from>
    <xdr:ext cx="971550" cy="38100"/>
    <xdr:grpSp>
      <xdr:nvGrpSpPr>
        <xdr:cNvPr id="85" name="Shape 2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/>
      </xdr:nvGrpSpPr>
      <xdr:grpSpPr>
        <a:xfrm>
          <a:off x="1600200" y="21021675"/>
          <a:ext cx="971550" cy="38100"/>
          <a:chOff x="5346000" y="3294225"/>
          <a:chExt cx="0" cy="971550"/>
        </a:xfrm>
      </xdr:grpSpPr>
      <xdr:cxnSp macro="">
        <xdr:nvCxnSpPr>
          <xdr:cNvPr id="86" name="Shape 61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152400</xdr:colOff>
      <xdr:row>93</xdr:row>
      <xdr:rowOff>123825</xdr:rowOff>
    </xdr:from>
    <xdr:ext cx="1362075" cy="933450"/>
    <xdr:grpSp>
      <xdr:nvGrpSpPr>
        <xdr:cNvPr id="87" name="Shape 2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1543050" y="18164175"/>
          <a:ext cx="1362075" cy="933450"/>
          <a:chOff x="4664963" y="3313275"/>
          <a:chExt cx="1362075" cy="933450"/>
        </a:xfrm>
      </xdr:grpSpPr>
      <xdr:grpSp>
        <xdr:nvGrpSpPr>
          <xdr:cNvPr id="88" name="Shape 62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GrpSpPr/>
        </xdr:nvGrpSpPr>
        <xdr:grpSpPr>
          <a:xfrm>
            <a:off x="4664963" y="3313275"/>
            <a:ext cx="1362075" cy="933450"/>
            <a:chOff x="1543783" y="18228652"/>
            <a:chExt cx="1367649" cy="932573"/>
          </a:xfrm>
        </xdr:grpSpPr>
        <xdr:sp macro="" textlink="">
          <xdr:nvSpPr>
            <xdr:cNvPr id="89" name="Shape 5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SpPr/>
          </xdr:nvSpPr>
          <xdr:spPr>
            <a:xfrm>
              <a:off x="1543783" y="18228652"/>
              <a:ext cx="1367625" cy="932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" name="Shape 63">
              <a:extLst>
                <a:ext uri="{FF2B5EF4-FFF2-40B4-BE49-F238E27FC236}">
                  <a16:creationId xmlns:a16="http://schemas.microsoft.com/office/drawing/2014/main" id="{00000000-0008-0000-0100-00005A000000}"/>
                </a:ext>
              </a:extLst>
            </xdr:cNvPr>
            <xdr:cNvCxnSpPr/>
          </xdr:nvCxnSpPr>
          <xdr:spPr>
            <a:xfrm flipH="1">
              <a:off x="1546713" y="18230850"/>
              <a:ext cx="1117356" cy="59055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1" name="Shape 6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CxnSpPr/>
          </xdr:nvCxnSpPr>
          <xdr:spPr>
            <a:xfrm>
              <a:off x="2784699" y="18101919"/>
              <a:ext cx="0" cy="253466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2" name="Shape 6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CxnSpPr/>
          </xdr:nvCxnSpPr>
          <xdr:spPr>
            <a:xfrm>
              <a:off x="1760516" y="18928517"/>
              <a:ext cx="0" cy="433466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3" name="Shape 6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CxnSpPr/>
          </xdr:nvCxnSpPr>
          <xdr:spPr>
            <a:xfrm rot="10800000">
              <a:off x="1559758" y="18801225"/>
              <a:ext cx="0" cy="36000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4" name="Shape 6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CxnSpPr/>
          </xdr:nvCxnSpPr>
          <xdr:spPr>
            <a:xfrm rot="10800000">
              <a:off x="1970799" y="18503700"/>
              <a:ext cx="0" cy="64800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5" name="Shape 6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CxnSpPr/>
          </xdr:nvCxnSpPr>
          <xdr:spPr>
            <a:xfrm flipH="1">
              <a:off x="1967770" y="18383250"/>
              <a:ext cx="244961" cy="115033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200025</xdr:colOff>
      <xdr:row>100</xdr:row>
      <xdr:rowOff>133350</xdr:rowOff>
    </xdr:from>
    <xdr:ext cx="971550" cy="3810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1590675" y="19507200"/>
          <a:ext cx="971550" cy="38100"/>
          <a:chOff x="5346000" y="3294225"/>
          <a:chExt cx="0" cy="971550"/>
        </a:xfrm>
      </xdr:grpSpPr>
      <xdr:cxnSp macro="">
        <xdr:nvCxnSpPr>
          <xdr:cNvPr id="97" name="Shape 61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409575</xdr:colOff>
      <xdr:row>48</xdr:row>
      <xdr:rowOff>-9525</xdr:rowOff>
    </xdr:from>
    <xdr:ext cx="638175" cy="590550"/>
    <xdr:sp macro="" textlink="">
      <xdr:nvSpPr>
        <xdr:cNvPr id="98" name="Shape 69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041200" y="3494250"/>
          <a:ext cx="609600" cy="571500"/>
        </a:xfrm>
        <a:custGeom>
          <a:avLst/>
          <a:gdLst/>
          <a:ahLst/>
          <a:cxnLst/>
          <a:rect l="l" t="t" r="r" b="b"/>
          <a:pathLst>
            <a:path w="691125" h="1086356" extrusionOk="0">
              <a:moveTo>
                <a:pt x="467672" y="0"/>
              </a:moveTo>
              <a:cubicBezTo>
                <a:pt x="273997" y="80169"/>
                <a:pt x="80322" y="160338"/>
                <a:pt x="29522" y="257175"/>
              </a:cubicBezTo>
              <a:cubicBezTo>
                <a:pt x="-21278" y="354012"/>
                <a:pt x="70797" y="514350"/>
                <a:pt x="162872" y="581025"/>
              </a:cubicBezTo>
              <a:cubicBezTo>
                <a:pt x="254947" y="647700"/>
                <a:pt x="497835" y="588963"/>
                <a:pt x="581972" y="657225"/>
              </a:cubicBezTo>
              <a:cubicBezTo>
                <a:pt x="666110" y="725488"/>
                <a:pt x="726434" y="919163"/>
                <a:pt x="667697" y="990600"/>
              </a:cubicBezTo>
              <a:cubicBezTo>
                <a:pt x="608960" y="1062037"/>
                <a:pt x="337497" y="1090612"/>
                <a:pt x="229547" y="1085850"/>
              </a:cubicBezTo>
              <a:cubicBezTo>
                <a:pt x="121597" y="1081088"/>
                <a:pt x="58097" y="1000125"/>
                <a:pt x="19997" y="962025"/>
              </a:cubicBezTo>
              <a:cubicBezTo>
                <a:pt x="-18103" y="923925"/>
                <a:pt x="12059" y="895350"/>
                <a:pt x="947" y="857250"/>
              </a:cubicBezTo>
            </a:path>
          </a:pathLst>
        </a:custGeom>
        <a:noFill/>
        <a:ln w="2857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409575</xdr:colOff>
      <xdr:row>58</xdr:row>
      <xdr:rowOff>-9525</xdr:rowOff>
    </xdr:from>
    <xdr:ext cx="638175" cy="590550"/>
    <xdr:sp macro="" textlink="">
      <xdr:nvSpPr>
        <xdr:cNvPr id="99" name="Shape 6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041200" y="3494250"/>
          <a:ext cx="609600" cy="571500"/>
        </a:xfrm>
        <a:custGeom>
          <a:avLst/>
          <a:gdLst/>
          <a:ahLst/>
          <a:cxnLst/>
          <a:rect l="l" t="t" r="r" b="b"/>
          <a:pathLst>
            <a:path w="691125" h="1086356" extrusionOk="0">
              <a:moveTo>
                <a:pt x="467672" y="0"/>
              </a:moveTo>
              <a:cubicBezTo>
                <a:pt x="273997" y="80169"/>
                <a:pt x="80322" y="160338"/>
                <a:pt x="29522" y="257175"/>
              </a:cubicBezTo>
              <a:cubicBezTo>
                <a:pt x="-21278" y="354012"/>
                <a:pt x="70797" y="514350"/>
                <a:pt x="162872" y="581025"/>
              </a:cubicBezTo>
              <a:cubicBezTo>
                <a:pt x="254947" y="647700"/>
                <a:pt x="497835" y="588963"/>
                <a:pt x="581972" y="657225"/>
              </a:cubicBezTo>
              <a:cubicBezTo>
                <a:pt x="666110" y="725488"/>
                <a:pt x="726434" y="919163"/>
                <a:pt x="667697" y="990600"/>
              </a:cubicBezTo>
              <a:cubicBezTo>
                <a:pt x="608960" y="1062037"/>
                <a:pt x="337497" y="1090612"/>
                <a:pt x="229547" y="1085850"/>
              </a:cubicBezTo>
              <a:cubicBezTo>
                <a:pt x="121597" y="1081088"/>
                <a:pt x="58097" y="1000125"/>
                <a:pt x="19997" y="962025"/>
              </a:cubicBezTo>
              <a:cubicBezTo>
                <a:pt x="-18103" y="923925"/>
                <a:pt x="12059" y="895350"/>
                <a:pt x="947" y="857250"/>
              </a:cubicBezTo>
            </a:path>
          </a:pathLst>
        </a:custGeom>
        <a:noFill/>
        <a:ln w="2857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1323975</xdr:colOff>
      <xdr:row>5</xdr:row>
      <xdr:rowOff>65553</xdr:rowOff>
    </xdr:from>
    <xdr:to>
      <xdr:col>6</xdr:col>
      <xdr:colOff>419100</xdr:colOff>
      <xdr:row>16</xdr:row>
      <xdr:rowOff>626288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30BF25-A127-454F-B80F-C319FDED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525" y="1256178"/>
          <a:ext cx="5581650" cy="28372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50800</xdr:colOff>
      <xdr:row>8</xdr:row>
      <xdr:rowOff>150812</xdr:rowOff>
    </xdr:from>
    <xdr:ext cx="290513" cy="79375"/>
    <xdr:grpSp>
      <xdr:nvGrpSpPr>
        <xdr:cNvPr id="12" name="Shape 2">
          <a:extLst>
            <a:ext uri="{FF2B5EF4-FFF2-40B4-BE49-F238E27FC236}">
              <a16:creationId xmlns:a16="http://schemas.microsoft.com/office/drawing/2014/main" id="{AB66588B-FB20-4C70-B5C8-06597796A667}"/>
            </a:ext>
          </a:extLst>
        </xdr:cNvPr>
        <xdr:cNvGrpSpPr/>
      </xdr:nvGrpSpPr>
      <xdr:grpSpPr>
        <a:xfrm>
          <a:off x="2963041" y="2690812"/>
          <a:ext cx="290513" cy="79375"/>
          <a:chOff x="5074538" y="3780000"/>
          <a:chExt cx="542925" cy="0"/>
        </a:xfrm>
      </xdr:grpSpPr>
      <xdr:cxnSp macro="">
        <xdr:nvCxnSpPr>
          <xdr:cNvPr id="13" name="Shape 75">
            <a:extLst>
              <a:ext uri="{FF2B5EF4-FFF2-40B4-BE49-F238E27FC236}">
                <a16:creationId xmlns:a16="http://schemas.microsoft.com/office/drawing/2014/main" id="{A0D5DFF9-C420-8AEF-51C3-C1268F7970DF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341312</xdr:colOff>
      <xdr:row>6</xdr:row>
      <xdr:rowOff>0</xdr:rowOff>
    </xdr:from>
    <xdr:ext cx="79376" cy="1125537"/>
    <xdr:grpSp>
      <xdr:nvGrpSpPr>
        <xdr:cNvPr id="28" name="Shape 2">
          <a:extLst>
            <a:ext uri="{FF2B5EF4-FFF2-40B4-BE49-F238E27FC236}">
              <a16:creationId xmlns:a16="http://schemas.microsoft.com/office/drawing/2014/main" id="{BDAD0A7F-30F3-4B01-9FE1-9A8F665239C0}"/>
            </a:ext>
          </a:extLst>
        </xdr:cNvPr>
        <xdr:cNvGrpSpPr/>
      </xdr:nvGrpSpPr>
      <xdr:grpSpPr>
        <a:xfrm>
          <a:off x="3253553" y="1576552"/>
          <a:ext cx="79376" cy="1125537"/>
          <a:chOff x="5346000" y="3603788"/>
          <a:chExt cx="0" cy="352425"/>
        </a:xfrm>
      </xdr:grpSpPr>
      <xdr:cxnSp macro="">
        <xdr:nvCxnSpPr>
          <xdr:cNvPr id="29" name="Shape 83">
            <a:extLst>
              <a:ext uri="{FF2B5EF4-FFF2-40B4-BE49-F238E27FC236}">
                <a16:creationId xmlns:a16="http://schemas.microsoft.com/office/drawing/2014/main" id="{EE9F8728-E853-503A-8889-6290F4D25E4C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349250</xdr:colOff>
      <xdr:row>16</xdr:row>
      <xdr:rowOff>71437</xdr:rowOff>
    </xdr:from>
    <xdr:ext cx="539749" cy="79374"/>
    <xdr:grpSp>
      <xdr:nvGrpSpPr>
        <xdr:cNvPr id="32" name="Shape 2">
          <a:extLst>
            <a:ext uri="{FF2B5EF4-FFF2-40B4-BE49-F238E27FC236}">
              <a16:creationId xmlns:a16="http://schemas.microsoft.com/office/drawing/2014/main" id="{83D09120-FD62-43F1-A932-FD769CB566C1}"/>
            </a:ext>
          </a:extLst>
        </xdr:cNvPr>
        <xdr:cNvGrpSpPr/>
      </xdr:nvGrpSpPr>
      <xdr:grpSpPr>
        <a:xfrm>
          <a:off x="2856405" y="4275575"/>
          <a:ext cx="539749" cy="79374"/>
          <a:chOff x="5088825" y="3775238"/>
          <a:chExt cx="514350" cy="9525"/>
        </a:xfrm>
      </xdr:grpSpPr>
      <xdr:cxnSp macro="">
        <xdr:nvCxnSpPr>
          <xdr:cNvPr id="33" name="Shape 85">
            <a:extLst>
              <a:ext uri="{FF2B5EF4-FFF2-40B4-BE49-F238E27FC236}">
                <a16:creationId xmlns:a16="http://schemas.microsoft.com/office/drawing/2014/main" id="{AF04EA44-1589-3233-5F16-0920B451788E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15</xdr:row>
      <xdr:rowOff>109537</xdr:rowOff>
    </xdr:from>
    <xdr:ext cx="542925" cy="476250"/>
    <xdr:pic>
      <xdr:nvPicPr>
        <xdr:cNvPr id="101" name="image3.png">
          <a:extLst>
            <a:ext uri="{FF2B5EF4-FFF2-40B4-BE49-F238E27FC236}">
              <a16:creationId xmlns:a16="http://schemas.microsoft.com/office/drawing/2014/main" id="{8043BC96-0020-44CA-8A75-6F83583FDD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487" y="4165600"/>
          <a:ext cx="542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374072</xdr:colOff>
      <xdr:row>40</xdr:row>
      <xdr:rowOff>142009</xdr:rowOff>
    </xdr:from>
    <xdr:ext cx="542925" cy="466725"/>
    <xdr:pic>
      <xdr:nvPicPr>
        <xdr:cNvPr id="103" name="image3.png">
          <a:extLst>
            <a:ext uri="{FF2B5EF4-FFF2-40B4-BE49-F238E27FC236}">
              <a16:creationId xmlns:a16="http://schemas.microsoft.com/office/drawing/2014/main" id="{FB0C2B2C-46C8-4614-912D-4819BEA1E1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4867" y="7995804"/>
          <a:ext cx="5429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338138</xdr:colOff>
      <xdr:row>6</xdr:row>
      <xdr:rowOff>17462</xdr:rowOff>
    </xdr:from>
    <xdr:ext cx="290513" cy="79375"/>
    <xdr:grpSp>
      <xdr:nvGrpSpPr>
        <xdr:cNvPr id="105" name="Shape 2">
          <a:extLst>
            <a:ext uri="{FF2B5EF4-FFF2-40B4-BE49-F238E27FC236}">
              <a16:creationId xmlns:a16="http://schemas.microsoft.com/office/drawing/2014/main" id="{310E9D31-F2DB-4CDB-83B4-B2426432C87A}"/>
            </a:ext>
          </a:extLst>
        </xdr:cNvPr>
        <xdr:cNvGrpSpPr/>
      </xdr:nvGrpSpPr>
      <xdr:grpSpPr>
        <a:xfrm>
          <a:off x="3250379" y="1594014"/>
          <a:ext cx="290513" cy="79375"/>
          <a:chOff x="5074538" y="3780000"/>
          <a:chExt cx="542925" cy="0"/>
        </a:xfrm>
      </xdr:grpSpPr>
      <xdr:cxnSp macro="">
        <xdr:nvCxnSpPr>
          <xdr:cNvPr id="106" name="Shape 75">
            <a:extLst>
              <a:ext uri="{FF2B5EF4-FFF2-40B4-BE49-F238E27FC236}">
                <a16:creationId xmlns:a16="http://schemas.microsoft.com/office/drawing/2014/main" id="{D8A953DF-1990-33D1-FBF1-AC640C4AA8B7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285750</xdr:colOff>
      <xdr:row>10</xdr:row>
      <xdr:rowOff>71438</xdr:rowOff>
    </xdr:from>
    <xdr:ext cx="190500" cy="1085849"/>
    <xdr:grpSp>
      <xdr:nvGrpSpPr>
        <xdr:cNvPr id="107" name="Shape 2">
          <a:extLst>
            <a:ext uri="{FF2B5EF4-FFF2-40B4-BE49-F238E27FC236}">
              <a16:creationId xmlns:a16="http://schemas.microsoft.com/office/drawing/2014/main" id="{CC603FD5-F595-4D23-A7BE-81B7641F0A34}"/>
            </a:ext>
          </a:extLst>
        </xdr:cNvPr>
        <xdr:cNvGrpSpPr/>
      </xdr:nvGrpSpPr>
      <xdr:grpSpPr>
        <a:xfrm>
          <a:off x="3197991" y="2928938"/>
          <a:ext cx="190500" cy="1085849"/>
          <a:chOff x="5346000" y="3603788"/>
          <a:chExt cx="0" cy="352425"/>
        </a:xfrm>
      </xdr:grpSpPr>
      <xdr:cxnSp macro="">
        <xdr:nvCxnSpPr>
          <xdr:cNvPr id="108" name="Shape 83">
            <a:extLst>
              <a:ext uri="{FF2B5EF4-FFF2-40B4-BE49-F238E27FC236}">
                <a16:creationId xmlns:a16="http://schemas.microsoft.com/office/drawing/2014/main" id="{E6D3D4C3-7796-D525-73A2-F64481EE6FBC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269875</xdr:colOff>
      <xdr:row>10</xdr:row>
      <xdr:rowOff>55563</xdr:rowOff>
    </xdr:from>
    <xdr:ext cx="290513" cy="79375"/>
    <xdr:grpSp>
      <xdr:nvGrpSpPr>
        <xdr:cNvPr id="109" name="Shape 2">
          <a:extLst>
            <a:ext uri="{FF2B5EF4-FFF2-40B4-BE49-F238E27FC236}">
              <a16:creationId xmlns:a16="http://schemas.microsoft.com/office/drawing/2014/main" id="{5C0AE774-CB5B-4B20-992D-B44EA67612E6}"/>
            </a:ext>
          </a:extLst>
        </xdr:cNvPr>
        <xdr:cNvGrpSpPr/>
      </xdr:nvGrpSpPr>
      <xdr:grpSpPr>
        <a:xfrm>
          <a:off x="3182116" y="2913063"/>
          <a:ext cx="290513" cy="79375"/>
          <a:chOff x="5074538" y="3780000"/>
          <a:chExt cx="542925" cy="0"/>
        </a:xfrm>
      </xdr:grpSpPr>
      <xdr:cxnSp macro="">
        <xdr:nvCxnSpPr>
          <xdr:cNvPr id="110" name="Shape 75">
            <a:extLst>
              <a:ext uri="{FF2B5EF4-FFF2-40B4-BE49-F238E27FC236}">
                <a16:creationId xmlns:a16="http://schemas.microsoft.com/office/drawing/2014/main" id="{939C63E4-DFD0-7B7B-B51C-8D3DD6CCF6CD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1588</xdr:colOff>
      <xdr:row>14</xdr:row>
      <xdr:rowOff>366713</xdr:rowOff>
    </xdr:from>
    <xdr:ext cx="290513" cy="79375"/>
    <xdr:grpSp>
      <xdr:nvGrpSpPr>
        <xdr:cNvPr id="111" name="Shape 2">
          <a:extLst>
            <a:ext uri="{FF2B5EF4-FFF2-40B4-BE49-F238E27FC236}">
              <a16:creationId xmlns:a16="http://schemas.microsoft.com/office/drawing/2014/main" id="{840A414C-55EC-4435-ACB6-63A121310C2B}"/>
            </a:ext>
          </a:extLst>
        </xdr:cNvPr>
        <xdr:cNvGrpSpPr/>
      </xdr:nvGrpSpPr>
      <xdr:grpSpPr>
        <a:xfrm>
          <a:off x="2913829" y="3990592"/>
          <a:ext cx="290513" cy="79375"/>
          <a:chOff x="5074538" y="3780000"/>
          <a:chExt cx="542925" cy="0"/>
        </a:xfrm>
      </xdr:grpSpPr>
      <xdr:cxnSp macro="">
        <xdr:nvCxnSpPr>
          <xdr:cNvPr id="113" name="Shape 75">
            <a:extLst>
              <a:ext uri="{FF2B5EF4-FFF2-40B4-BE49-F238E27FC236}">
                <a16:creationId xmlns:a16="http://schemas.microsoft.com/office/drawing/2014/main" id="{E3D09E6F-E509-7E58-ACB5-B9FD35BBC41B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349250</xdr:colOff>
      <xdr:row>21</xdr:row>
      <xdr:rowOff>71437</xdr:rowOff>
    </xdr:from>
    <xdr:ext cx="539749" cy="79374"/>
    <xdr:grpSp>
      <xdr:nvGrpSpPr>
        <xdr:cNvPr id="114" name="Shape 2">
          <a:extLst>
            <a:ext uri="{FF2B5EF4-FFF2-40B4-BE49-F238E27FC236}">
              <a16:creationId xmlns:a16="http://schemas.microsoft.com/office/drawing/2014/main" id="{0DC0AF94-5EA7-4184-B333-584C5077E042}"/>
            </a:ext>
          </a:extLst>
        </xdr:cNvPr>
        <xdr:cNvGrpSpPr/>
      </xdr:nvGrpSpPr>
      <xdr:grpSpPr>
        <a:xfrm>
          <a:off x="2856405" y="4987213"/>
          <a:ext cx="539749" cy="79374"/>
          <a:chOff x="5088825" y="3775238"/>
          <a:chExt cx="514350" cy="9525"/>
        </a:xfrm>
      </xdr:grpSpPr>
      <xdr:cxnSp macro="">
        <xdr:nvCxnSpPr>
          <xdr:cNvPr id="116" name="Shape 85">
            <a:extLst>
              <a:ext uri="{FF2B5EF4-FFF2-40B4-BE49-F238E27FC236}">
                <a16:creationId xmlns:a16="http://schemas.microsoft.com/office/drawing/2014/main" id="{822D6342-1D4D-6265-77E1-15DE870D7131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20</xdr:row>
      <xdr:rowOff>109537</xdr:rowOff>
    </xdr:from>
    <xdr:ext cx="542925" cy="476250"/>
    <xdr:pic>
      <xdr:nvPicPr>
        <xdr:cNvPr id="118" name="image3.png">
          <a:extLst>
            <a:ext uri="{FF2B5EF4-FFF2-40B4-BE49-F238E27FC236}">
              <a16:creationId xmlns:a16="http://schemas.microsoft.com/office/drawing/2014/main" id="{4A01E001-BD56-4CCE-B789-8BE77FB838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487" y="4165600"/>
          <a:ext cx="542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349664</xdr:colOff>
      <xdr:row>26</xdr:row>
      <xdr:rowOff>75601</xdr:rowOff>
    </xdr:from>
    <xdr:ext cx="1085849" cy="190500"/>
    <xdr:grpSp>
      <xdr:nvGrpSpPr>
        <xdr:cNvPr id="121" name="Shape 2">
          <a:extLst>
            <a:ext uri="{FF2B5EF4-FFF2-40B4-BE49-F238E27FC236}">
              <a16:creationId xmlns:a16="http://schemas.microsoft.com/office/drawing/2014/main" id="{3882970F-E38B-41E6-BE76-A2D08A70334B}"/>
            </a:ext>
          </a:extLst>
        </xdr:cNvPr>
        <xdr:cNvGrpSpPr/>
      </xdr:nvGrpSpPr>
      <xdr:grpSpPr>
        <a:xfrm rot="5400000">
          <a:off x="3304494" y="5255340"/>
          <a:ext cx="190500" cy="1085849"/>
          <a:chOff x="5346000" y="3603788"/>
          <a:chExt cx="0" cy="352425"/>
        </a:xfrm>
      </xdr:grpSpPr>
      <xdr:cxnSp macro="">
        <xdr:nvCxnSpPr>
          <xdr:cNvPr id="122" name="Shape 83">
            <a:extLst>
              <a:ext uri="{FF2B5EF4-FFF2-40B4-BE49-F238E27FC236}">
                <a16:creationId xmlns:a16="http://schemas.microsoft.com/office/drawing/2014/main" id="{1BB15957-46FE-CEAA-6C1A-4CA33E3EB64D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370114</xdr:colOff>
      <xdr:row>26</xdr:row>
      <xdr:rowOff>82097</xdr:rowOff>
    </xdr:from>
    <xdr:ext cx="190500" cy="235403"/>
    <xdr:grpSp>
      <xdr:nvGrpSpPr>
        <xdr:cNvPr id="123" name="Shape 2">
          <a:extLst>
            <a:ext uri="{FF2B5EF4-FFF2-40B4-BE49-F238E27FC236}">
              <a16:creationId xmlns:a16="http://schemas.microsoft.com/office/drawing/2014/main" id="{03728E8D-F323-474B-B676-DBF22D6C3B2F}"/>
            </a:ext>
          </a:extLst>
        </xdr:cNvPr>
        <xdr:cNvGrpSpPr/>
      </xdr:nvGrpSpPr>
      <xdr:grpSpPr>
        <a:xfrm>
          <a:off x="2877269" y="5709511"/>
          <a:ext cx="190500" cy="235403"/>
          <a:chOff x="5346000" y="3603788"/>
          <a:chExt cx="0" cy="352425"/>
        </a:xfrm>
      </xdr:grpSpPr>
      <xdr:cxnSp macro="">
        <xdr:nvCxnSpPr>
          <xdr:cNvPr id="124" name="Shape 83">
            <a:extLst>
              <a:ext uri="{FF2B5EF4-FFF2-40B4-BE49-F238E27FC236}">
                <a16:creationId xmlns:a16="http://schemas.microsoft.com/office/drawing/2014/main" id="{6893F416-B1DE-37BD-86F5-8CC467260E57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376159</xdr:colOff>
      <xdr:row>32</xdr:row>
      <xdr:rowOff>91148</xdr:rowOff>
    </xdr:from>
    <xdr:ext cx="1260607" cy="190500"/>
    <xdr:grpSp>
      <xdr:nvGrpSpPr>
        <xdr:cNvPr id="125" name="Shape 2">
          <a:extLst>
            <a:ext uri="{FF2B5EF4-FFF2-40B4-BE49-F238E27FC236}">
              <a16:creationId xmlns:a16="http://schemas.microsoft.com/office/drawing/2014/main" id="{64516E59-B9B8-42CA-A7B5-B9E42F7C368E}"/>
            </a:ext>
          </a:extLst>
        </xdr:cNvPr>
        <xdr:cNvGrpSpPr/>
      </xdr:nvGrpSpPr>
      <xdr:grpSpPr>
        <a:xfrm rot="5400000">
          <a:off x="3418368" y="6037473"/>
          <a:ext cx="190500" cy="1260607"/>
          <a:chOff x="5346000" y="3603788"/>
          <a:chExt cx="0" cy="352425"/>
        </a:xfrm>
      </xdr:grpSpPr>
      <xdr:cxnSp macro="">
        <xdr:nvCxnSpPr>
          <xdr:cNvPr id="126" name="Shape 83">
            <a:extLst>
              <a:ext uri="{FF2B5EF4-FFF2-40B4-BE49-F238E27FC236}">
                <a16:creationId xmlns:a16="http://schemas.microsoft.com/office/drawing/2014/main" id="{8AA692FB-C688-1966-7FEE-638CBBA47A79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396609</xdr:colOff>
      <xdr:row>32</xdr:row>
      <xdr:rowOff>97644</xdr:rowOff>
    </xdr:from>
    <xdr:ext cx="190500" cy="235403"/>
    <xdr:grpSp>
      <xdr:nvGrpSpPr>
        <xdr:cNvPr id="127" name="Shape 2">
          <a:extLst>
            <a:ext uri="{FF2B5EF4-FFF2-40B4-BE49-F238E27FC236}">
              <a16:creationId xmlns:a16="http://schemas.microsoft.com/office/drawing/2014/main" id="{EE1C794D-3E25-460E-9F94-C4D8526B9C75}"/>
            </a:ext>
          </a:extLst>
        </xdr:cNvPr>
        <xdr:cNvGrpSpPr/>
      </xdr:nvGrpSpPr>
      <xdr:grpSpPr>
        <a:xfrm>
          <a:off x="2903764" y="6579023"/>
          <a:ext cx="190500" cy="235403"/>
          <a:chOff x="5346000" y="3603788"/>
          <a:chExt cx="0" cy="352425"/>
        </a:xfrm>
      </xdr:grpSpPr>
      <xdr:cxnSp macro="">
        <xdr:nvCxnSpPr>
          <xdr:cNvPr id="128" name="Shape 83">
            <a:extLst>
              <a:ext uri="{FF2B5EF4-FFF2-40B4-BE49-F238E27FC236}">
                <a16:creationId xmlns:a16="http://schemas.microsoft.com/office/drawing/2014/main" id="{6E93917B-7A97-4CAA-CE68-7348E3E3656B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401207</xdr:colOff>
      <xdr:row>32</xdr:row>
      <xdr:rowOff>102242</xdr:rowOff>
    </xdr:from>
    <xdr:ext cx="190500" cy="235403"/>
    <xdr:grpSp>
      <xdr:nvGrpSpPr>
        <xdr:cNvPr id="129" name="Shape 2">
          <a:extLst>
            <a:ext uri="{FF2B5EF4-FFF2-40B4-BE49-F238E27FC236}">
              <a16:creationId xmlns:a16="http://schemas.microsoft.com/office/drawing/2014/main" id="{A7417176-FE10-4D43-A7E9-1D149D806A2A}"/>
            </a:ext>
          </a:extLst>
        </xdr:cNvPr>
        <xdr:cNvGrpSpPr/>
      </xdr:nvGrpSpPr>
      <xdr:grpSpPr>
        <a:xfrm>
          <a:off x="4134569" y="6583621"/>
          <a:ext cx="190500" cy="235403"/>
          <a:chOff x="5346000" y="3603788"/>
          <a:chExt cx="0" cy="352425"/>
        </a:xfrm>
      </xdr:grpSpPr>
      <xdr:cxnSp macro="">
        <xdr:nvCxnSpPr>
          <xdr:cNvPr id="130" name="Shape 83">
            <a:extLst>
              <a:ext uri="{FF2B5EF4-FFF2-40B4-BE49-F238E27FC236}">
                <a16:creationId xmlns:a16="http://schemas.microsoft.com/office/drawing/2014/main" id="{1AD15129-4A8D-AADE-762E-4B0A41EA37B8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376159</xdr:colOff>
      <xdr:row>37</xdr:row>
      <xdr:rowOff>91148</xdr:rowOff>
    </xdr:from>
    <xdr:ext cx="1260607" cy="190500"/>
    <xdr:grpSp>
      <xdr:nvGrpSpPr>
        <xdr:cNvPr id="137" name="Shape 2">
          <a:extLst>
            <a:ext uri="{FF2B5EF4-FFF2-40B4-BE49-F238E27FC236}">
              <a16:creationId xmlns:a16="http://schemas.microsoft.com/office/drawing/2014/main" id="{6A503B25-134E-490F-9A13-1AF65D6AAEBE}"/>
            </a:ext>
          </a:extLst>
        </xdr:cNvPr>
        <xdr:cNvGrpSpPr/>
      </xdr:nvGrpSpPr>
      <xdr:grpSpPr>
        <a:xfrm rot="5400000">
          <a:off x="3418368" y="6825749"/>
          <a:ext cx="190500" cy="1260607"/>
          <a:chOff x="5346000" y="3603788"/>
          <a:chExt cx="0" cy="352425"/>
        </a:xfrm>
      </xdr:grpSpPr>
      <xdr:cxnSp macro="">
        <xdr:nvCxnSpPr>
          <xdr:cNvPr id="138" name="Shape 83">
            <a:extLst>
              <a:ext uri="{FF2B5EF4-FFF2-40B4-BE49-F238E27FC236}">
                <a16:creationId xmlns:a16="http://schemas.microsoft.com/office/drawing/2014/main" id="{6228D93C-806A-7854-2FD9-581D81701BB0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396609</xdr:colOff>
      <xdr:row>37</xdr:row>
      <xdr:rowOff>97644</xdr:rowOff>
    </xdr:from>
    <xdr:ext cx="190500" cy="235403"/>
    <xdr:grpSp>
      <xdr:nvGrpSpPr>
        <xdr:cNvPr id="139" name="Shape 2">
          <a:extLst>
            <a:ext uri="{FF2B5EF4-FFF2-40B4-BE49-F238E27FC236}">
              <a16:creationId xmlns:a16="http://schemas.microsoft.com/office/drawing/2014/main" id="{D1993618-585C-45B4-8442-3A7BA43EAA67}"/>
            </a:ext>
          </a:extLst>
        </xdr:cNvPr>
        <xdr:cNvGrpSpPr/>
      </xdr:nvGrpSpPr>
      <xdr:grpSpPr>
        <a:xfrm>
          <a:off x="2903764" y="7367299"/>
          <a:ext cx="190500" cy="235403"/>
          <a:chOff x="5346000" y="3603788"/>
          <a:chExt cx="0" cy="352425"/>
        </a:xfrm>
      </xdr:grpSpPr>
      <xdr:cxnSp macro="">
        <xdr:nvCxnSpPr>
          <xdr:cNvPr id="140" name="Shape 83">
            <a:extLst>
              <a:ext uri="{FF2B5EF4-FFF2-40B4-BE49-F238E27FC236}">
                <a16:creationId xmlns:a16="http://schemas.microsoft.com/office/drawing/2014/main" id="{EDDB7C13-0C6C-EC7F-A47F-234AB839B52A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401207</xdr:colOff>
      <xdr:row>37</xdr:row>
      <xdr:rowOff>102242</xdr:rowOff>
    </xdr:from>
    <xdr:ext cx="190500" cy="235403"/>
    <xdr:grpSp>
      <xdr:nvGrpSpPr>
        <xdr:cNvPr id="141" name="Shape 2">
          <a:extLst>
            <a:ext uri="{FF2B5EF4-FFF2-40B4-BE49-F238E27FC236}">
              <a16:creationId xmlns:a16="http://schemas.microsoft.com/office/drawing/2014/main" id="{DD3A4463-5775-4E55-B801-C7698CE1C0D5}"/>
            </a:ext>
          </a:extLst>
        </xdr:cNvPr>
        <xdr:cNvGrpSpPr/>
      </xdr:nvGrpSpPr>
      <xdr:grpSpPr>
        <a:xfrm>
          <a:off x="4134569" y="7371897"/>
          <a:ext cx="190500" cy="235403"/>
          <a:chOff x="5346000" y="3603788"/>
          <a:chExt cx="0" cy="352425"/>
        </a:xfrm>
      </xdr:grpSpPr>
      <xdr:cxnSp macro="">
        <xdr:nvCxnSpPr>
          <xdr:cNvPr id="142" name="Shape 83">
            <a:extLst>
              <a:ext uri="{FF2B5EF4-FFF2-40B4-BE49-F238E27FC236}">
                <a16:creationId xmlns:a16="http://schemas.microsoft.com/office/drawing/2014/main" id="{55EA7B48-50AA-4C33-93AD-F36124F16859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363681</xdr:colOff>
      <xdr:row>41</xdr:row>
      <xdr:rowOff>77932</xdr:rowOff>
    </xdr:from>
    <xdr:ext cx="658091" cy="95250"/>
    <xdr:grpSp>
      <xdr:nvGrpSpPr>
        <xdr:cNvPr id="143" name="Shape 2">
          <a:extLst>
            <a:ext uri="{FF2B5EF4-FFF2-40B4-BE49-F238E27FC236}">
              <a16:creationId xmlns:a16="http://schemas.microsoft.com/office/drawing/2014/main" id="{14D9812F-BEB1-4B3E-B01A-6D8D5DAF94BE}"/>
            </a:ext>
          </a:extLst>
        </xdr:cNvPr>
        <xdr:cNvGrpSpPr/>
      </xdr:nvGrpSpPr>
      <xdr:grpSpPr>
        <a:xfrm>
          <a:off x="2870836" y="7938794"/>
          <a:ext cx="658091" cy="95250"/>
          <a:chOff x="5050725" y="3756188"/>
          <a:chExt cx="590550" cy="47625"/>
        </a:xfrm>
      </xdr:grpSpPr>
      <xdr:cxnSp macro="">
        <xdr:nvCxnSpPr>
          <xdr:cNvPr id="144" name="Shape 92">
            <a:extLst>
              <a:ext uri="{FF2B5EF4-FFF2-40B4-BE49-F238E27FC236}">
                <a16:creationId xmlns:a16="http://schemas.microsoft.com/office/drawing/2014/main" id="{D88748FB-8D38-FB12-3CC3-DFEB46E16C1B}"/>
              </a:ext>
            </a:extLst>
          </xdr:cNvPr>
          <xdr:cNvCxnSpPr/>
        </xdr:nvCxnSpPr>
        <xdr:spPr>
          <a:xfrm>
            <a:off x="5050725" y="3756188"/>
            <a:ext cx="590550" cy="476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349250</xdr:colOff>
      <xdr:row>46</xdr:row>
      <xdr:rowOff>71437</xdr:rowOff>
    </xdr:from>
    <xdr:ext cx="539749" cy="79374"/>
    <xdr:grpSp>
      <xdr:nvGrpSpPr>
        <xdr:cNvPr id="148" name="Shape 2">
          <a:extLst>
            <a:ext uri="{FF2B5EF4-FFF2-40B4-BE49-F238E27FC236}">
              <a16:creationId xmlns:a16="http://schemas.microsoft.com/office/drawing/2014/main" id="{6C3BD4BA-BA59-4335-9CEE-F767265F491E}"/>
            </a:ext>
          </a:extLst>
        </xdr:cNvPr>
        <xdr:cNvGrpSpPr/>
      </xdr:nvGrpSpPr>
      <xdr:grpSpPr>
        <a:xfrm>
          <a:off x="2856405" y="8643937"/>
          <a:ext cx="539749" cy="79374"/>
          <a:chOff x="5088825" y="3775238"/>
          <a:chExt cx="514350" cy="9525"/>
        </a:xfrm>
      </xdr:grpSpPr>
      <xdr:cxnSp macro="">
        <xdr:nvCxnSpPr>
          <xdr:cNvPr id="149" name="Shape 85">
            <a:extLst>
              <a:ext uri="{FF2B5EF4-FFF2-40B4-BE49-F238E27FC236}">
                <a16:creationId xmlns:a16="http://schemas.microsoft.com/office/drawing/2014/main" id="{0A27843C-FAD2-39E2-1C0B-0F8B0DADD7F7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45</xdr:row>
      <xdr:rowOff>109537</xdr:rowOff>
    </xdr:from>
    <xdr:ext cx="542925" cy="476250"/>
    <xdr:pic>
      <xdr:nvPicPr>
        <xdr:cNvPr id="150" name="image3.png">
          <a:extLst>
            <a:ext uri="{FF2B5EF4-FFF2-40B4-BE49-F238E27FC236}">
              <a16:creationId xmlns:a16="http://schemas.microsoft.com/office/drawing/2014/main" id="{B3328622-04B2-49F1-B9FB-F8CC45499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4837" y="4881562"/>
          <a:ext cx="542925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rpeta%20Publica\BGARCIA\APMIGUELPAMPA\METRADOS%20GENERALES%20-%20MIGUELPAM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arpeta%20Publica\BGARCIA\APMIGUELPAMPA\METRADOS%20GENERALES%20-%20MIGUELPAM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ello\c\NELLY\nelly\lambayeque\000%20CN%20San%20Jos&#233;%20-%20Exp%20Tec%20Reform%20metrado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UDER/FONCODES/FONCODES%20TRUJILLO/TRUJILLO%202009/INFORMACION%20AYUDA%20LA%20ACHIRA/PIURA/Metrados%20general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UDER/GRA%20PROYECTISTA/BALCON/METRADO%20ESTRUCTURAS%20AGUA%20POTABLE-original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WINDOWS\Desktop\02.%20PROYECTOS%20PROFESIONALES\01.%20PROYECTO%20EDWAR%20PITOCUNA\proyecto%20N&#186;%2001-PITOCUNA%20edwar\06.%20PLANOS%20ESTRUCTURALES\02.%20PLANOS%20DE%20SISTEMA%20DE%20SANEAMIENTO\02.%20UBS%20AH%20I.E.%20INICIAL\02.02.%20METRADO%20UBS-AH%20I.E.%20INICIAL%20VFFF.xlsx?2931AC17" TargetMode="External"/><Relationship Id="rId1" Type="http://schemas.openxmlformats.org/officeDocument/2006/relationships/externalLinkPath" Target="file:///\\2931AC17\02.02.%20METRADO%20UBS-AH%20I.E.%20INICIAL%20VF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Resumen-Elegibilidad"/>
      <sheetName val="Cuadro Nº01-Pto.Obra"/>
      <sheetName val="Cuadro Nº06-C.U."/>
      <sheetName val="Cuadro Nº07-Insumos"/>
      <sheetName val="Cuadro Nº02-Usos y Fuent.Proy."/>
      <sheetName val="Cuadro Nº03-Desagregado C.D."/>
      <sheetName val="Cuadro Nº04-Desagregado C.Ind."/>
      <sheetName val="Cuadro Nº05-Plan. Sust. Metr."/>
      <sheetName val="Cuadro Nº08-Insum adqui.Aporte"/>
      <sheetName val="Cuadro de Cálculo"/>
      <sheetName val="Cálculo-MONC"/>
      <sheetName val="Cálculo-Mater, equipos y herr."/>
      <sheetName val="Cronog. Nº01-Avance de Ejec. "/>
      <sheetName val="Cronog.Nº02-Desemb. mens. Obra"/>
      <sheetName val="Cronog Nº03 Materia equ. herr."/>
      <sheetName val="Cronog. Nº04-Valor. Rec. Benef."/>
      <sheetName val="Gráfico1"/>
      <sheetName val="Cronog. Nº5 -Desemb aporte Pr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- Redes"/>
      <sheetName val="Combinacion tuberias"/>
      <sheetName val="C-1A"/>
      <sheetName val="C-2A"/>
      <sheetName val="C-2B"/>
      <sheetName val="Cap-Gal"/>
      <sheetName val="Capt-Quebrada"/>
      <sheetName val="Bz-Reunion"/>
      <sheetName val="CRP6"/>
      <sheetName val="CRP7"/>
      <sheetName val="PASES AEREOS"/>
      <sheetName val="DISEÑO RESERV"/>
      <sheetName val="Reser_Caset"/>
      <sheetName val="Válv  Purga"/>
      <sheetName val="Válv Control"/>
      <sheetName val="Válv Aire"/>
      <sheetName val="pileta"/>
      <sheetName val="Tapas metali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C6">
            <v>3.35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orios"/>
      <sheetName val="C-2A"/>
      <sheetName val="C-1A"/>
      <sheetName val="C-2B"/>
      <sheetName val="Cap-gal"/>
      <sheetName val="Cap-quebrada"/>
      <sheetName val="BZ-reunion"/>
      <sheetName val="CRP6"/>
      <sheetName val="CRP7"/>
      <sheetName val="VP-01"/>
      <sheetName val="VP-02"/>
      <sheetName val="VC-01"/>
      <sheetName val="VA-01"/>
      <sheetName val="pileta"/>
    </sheetNames>
    <sheetDataSet>
      <sheetData sheetId="0">
        <row r="151">
          <cell r="D15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BS AH"/>
      <sheetName val="UBS TRATAMIENTO"/>
      <sheetName val="Metrado de Acero"/>
      <sheetName val="Metrado Acero"/>
      <sheetName val="Acero"/>
    </sheetNames>
    <sheetDataSet>
      <sheetData sheetId="0">
        <row r="30">
          <cell r="E30">
            <v>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2"/>
  <sheetViews>
    <sheetView showGridLines="0" view="pageBreakPreview" topLeftCell="B1" zoomScale="70" zoomScaleNormal="70" zoomScaleSheetLayoutView="70" workbookViewId="0">
      <selection activeCell="M277" sqref="M277"/>
    </sheetView>
  </sheetViews>
  <sheetFormatPr baseColWidth="10" defaultColWidth="16.83203125" defaultRowHeight="15" customHeight="1" x14ac:dyDescent="0.2"/>
  <cols>
    <col min="1" max="1" width="3.6640625" hidden="1" customWidth="1"/>
    <col min="2" max="2" width="20" style="181" customWidth="1"/>
    <col min="3" max="3" width="88.5" style="154" customWidth="1"/>
    <col min="4" max="4" width="8.33203125" style="154" customWidth="1"/>
    <col min="5" max="5" width="11" style="154" customWidth="1"/>
    <col min="6" max="6" width="9.6640625" style="154" customWidth="1"/>
    <col min="7" max="7" width="7.83203125" style="154" customWidth="1"/>
    <col min="8" max="8" width="11" style="154" customWidth="1"/>
    <col min="9" max="9" width="11.33203125" style="154" customWidth="1"/>
    <col min="10" max="10" width="12.33203125" style="154" customWidth="1"/>
  </cols>
  <sheetData>
    <row r="1" spans="1:10" ht="15" customHeight="1" thickBot="1" x14ac:dyDescent="0.25">
      <c r="A1" s="1"/>
      <c r="B1" s="151"/>
      <c r="C1" s="152"/>
      <c r="D1" s="153"/>
      <c r="E1" s="153"/>
      <c r="F1" s="153"/>
      <c r="G1" s="153"/>
      <c r="H1" s="153"/>
      <c r="I1" s="153"/>
      <c r="J1" s="153"/>
    </row>
    <row r="2" spans="1:10" ht="18" customHeight="1" x14ac:dyDescent="0.2">
      <c r="A2" s="1"/>
      <c r="B2" s="416" t="s">
        <v>0</v>
      </c>
      <c r="C2" s="417"/>
      <c r="D2" s="417"/>
      <c r="E2" s="417"/>
      <c r="F2" s="417"/>
      <c r="G2" s="417"/>
      <c r="H2" s="417"/>
      <c r="I2" s="417"/>
      <c r="J2" s="418"/>
    </row>
    <row r="3" spans="1:10" ht="40.5" customHeight="1" x14ac:dyDescent="0.2">
      <c r="A3" s="1"/>
      <c r="B3" s="419" t="s">
        <v>352</v>
      </c>
      <c r="C3" s="420"/>
      <c r="D3" s="420"/>
      <c r="E3" s="420"/>
      <c r="F3" s="420"/>
      <c r="G3" s="420"/>
      <c r="H3" s="420"/>
      <c r="I3" s="420"/>
      <c r="J3" s="421"/>
    </row>
    <row r="4" spans="1:10" ht="19.5" customHeight="1" thickBot="1" x14ac:dyDescent="0.25">
      <c r="A4" s="1"/>
      <c r="B4" s="422" t="s">
        <v>318</v>
      </c>
      <c r="C4" s="423"/>
      <c r="D4" s="423"/>
      <c r="E4" s="423"/>
      <c r="F4" s="423"/>
      <c r="G4" s="423"/>
      <c r="H4" s="423"/>
      <c r="I4" s="423"/>
      <c r="J4" s="424"/>
    </row>
    <row r="5" spans="1:10" ht="15" customHeight="1" x14ac:dyDescent="0.2">
      <c r="A5" s="1"/>
      <c r="B5" s="155"/>
      <c r="C5" s="156"/>
      <c r="D5" s="157"/>
      <c r="E5" s="158"/>
      <c r="F5" s="158"/>
      <c r="G5" s="158"/>
      <c r="H5" s="158"/>
      <c r="I5" s="158"/>
      <c r="J5" s="159"/>
    </row>
    <row r="6" spans="1:10" ht="15" customHeight="1" x14ac:dyDescent="0.2">
      <c r="A6" s="1"/>
      <c r="B6" s="160"/>
      <c r="C6" s="425"/>
      <c r="D6" s="426"/>
      <c r="E6" s="426"/>
      <c r="F6" s="426"/>
      <c r="G6" s="426"/>
      <c r="H6" s="426"/>
      <c r="I6" s="427"/>
      <c r="J6" s="161"/>
    </row>
    <row r="7" spans="1:10" ht="15" customHeight="1" x14ac:dyDescent="0.2">
      <c r="A7" s="1"/>
      <c r="B7" s="160"/>
      <c r="C7" s="428"/>
      <c r="D7" s="420"/>
      <c r="E7" s="420"/>
      <c r="F7" s="420"/>
      <c r="G7" s="420"/>
      <c r="H7" s="420"/>
      <c r="I7" s="429"/>
      <c r="J7" s="161"/>
    </row>
    <row r="8" spans="1:10" ht="15" customHeight="1" x14ac:dyDescent="0.2">
      <c r="A8" s="1"/>
      <c r="B8" s="160"/>
      <c r="C8" s="428"/>
      <c r="D8" s="420"/>
      <c r="E8" s="420"/>
      <c r="F8" s="420"/>
      <c r="G8" s="420"/>
      <c r="H8" s="420"/>
      <c r="I8" s="429"/>
      <c r="J8" s="161"/>
    </row>
    <row r="9" spans="1:10" ht="15" customHeight="1" x14ac:dyDescent="0.2">
      <c r="A9" s="1"/>
      <c r="B9" s="160"/>
      <c r="C9" s="428"/>
      <c r="D9" s="420"/>
      <c r="E9" s="420"/>
      <c r="F9" s="420"/>
      <c r="G9" s="420"/>
      <c r="H9" s="420"/>
      <c r="I9" s="429"/>
      <c r="J9" s="161"/>
    </row>
    <row r="10" spans="1:10" ht="15" customHeight="1" x14ac:dyDescent="0.2">
      <c r="A10" s="1"/>
      <c r="B10" s="160"/>
      <c r="C10" s="428"/>
      <c r="D10" s="420"/>
      <c r="E10" s="420"/>
      <c r="F10" s="420"/>
      <c r="G10" s="420"/>
      <c r="H10" s="420"/>
      <c r="I10" s="429"/>
      <c r="J10" s="161"/>
    </row>
    <row r="11" spans="1:10" ht="15" customHeight="1" x14ac:dyDescent="0.2">
      <c r="A11" s="1"/>
      <c r="B11" s="160"/>
      <c r="C11" s="428"/>
      <c r="D11" s="420"/>
      <c r="E11" s="420"/>
      <c r="F11" s="420"/>
      <c r="G11" s="420"/>
      <c r="H11" s="420"/>
      <c r="I11" s="429"/>
      <c r="J11" s="161"/>
    </row>
    <row r="12" spans="1:10" ht="15" customHeight="1" x14ac:dyDescent="0.2">
      <c r="A12" s="1"/>
      <c r="B12" s="160"/>
      <c r="C12" s="428"/>
      <c r="D12" s="420"/>
      <c r="E12" s="420"/>
      <c r="F12" s="420"/>
      <c r="G12" s="420"/>
      <c r="H12" s="420"/>
      <c r="I12" s="429"/>
      <c r="J12" s="161"/>
    </row>
    <row r="13" spans="1:10" ht="15" customHeight="1" x14ac:dyDescent="0.2">
      <c r="A13" s="1"/>
      <c r="B13" s="160"/>
      <c r="C13" s="428"/>
      <c r="D13" s="420"/>
      <c r="E13" s="420"/>
      <c r="F13" s="420"/>
      <c r="G13" s="420"/>
      <c r="H13" s="420"/>
      <c r="I13" s="429"/>
      <c r="J13" s="161"/>
    </row>
    <row r="14" spans="1:10" ht="15" customHeight="1" x14ac:dyDescent="0.2">
      <c r="A14" s="1"/>
      <c r="B14" s="160"/>
      <c r="C14" s="428"/>
      <c r="D14" s="420"/>
      <c r="E14" s="420"/>
      <c r="F14" s="420"/>
      <c r="G14" s="420"/>
      <c r="H14" s="420"/>
      <c r="I14" s="429"/>
      <c r="J14" s="161"/>
    </row>
    <row r="15" spans="1:10" ht="15" customHeight="1" x14ac:dyDescent="0.2">
      <c r="A15" s="1"/>
      <c r="B15" s="160"/>
      <c r="C15" s="430"/>
      <c r="D15" s="420"/>
      <c r="E15" s="420"/>
      <c r="F15" s="420"/>
      <c r="G15" s="420"/>
      <c r="H15" s="420"/>
      <c r="I15" s="431"/>
      <c r="J15" s="171"/>
    </row>
    <row r="16" spans="1:10" ht="15" customHeight="1" x14ac:dyDescent="0.2">
      <c r="A16" s="1"/>
      <c r="B16" s="160"/>
      <c r="C16" s="430"/>
      <c r="D16" s="420"/>
      <c r="E16" s="420"/>
      <c r="F16" s="420"/>
      <c r="G16" s="420"/>
      <c r="H16" s="420"/>
      <c r="I16" s="431"/>
      <c r="J16" s="171"/>
    </row>
    <row r="17" spans="1:13" ht="15" customHeight="1" x14ac:dyDescent="0.2">
      <c r="A17" s="1"/>
      <c r="B17" s="160"/>
      <c r="C17" s="430"/>
      <c r="D17" s="420"/>
      <c r="E17" s="420"/>
      <c r="F17" s="420"/>
      <c r="G17" s="420"/>
      <c r="H17" s="420"/>
      <c r="I17" s="431"/>
      <c r="J17" s="171"/>
    </row>
    <row r="18" spans="1:13" ht="15" customHeight="1" x14ac:dyDescent="0.2">
      <c r="A18" s="1"/>
      <c r="B18" s="160"/>
      <c r="C18" s="430"/>
      <c r="D18" s="420"/>
      <c r="E18" s="420"/>
      <c r="F18" s="420"/>
      <c r="G18" s="420"/>
      <c r="H18" s="420"/>
      <c r="I18" s="431"/>
      <c r="J18" s="171"/>
    </row>
    <row r="19" spans="1:13" ht="15" customHeight="1" x14ac:dyDescent="0.2">
      <c r="A19" s="1"/>
      <c r="B19" s="160"/>
      <c r="C19" s="428"/>
      <c r="D19" s="420"/>
      <c r="E19" s="420"/>
      <c r="F19" s="420"/>
      <c r="G19" s="420"/>
      <c r="H19" s="420"/>
      <c r="I19" s="429"/>
      <c r="J19" s="161"/>
    </row>
    <row r="20" spans="1:13" ht="15" customHeight="1" x14ac:dyDescent="0.2">
      <c r="A20" s="1"/>
      <c r="B20" s="160"/>
      <c r="C20" s="428"/>
      <c r="D20" s="420"/>
      <c r="E20" s="420"/>
      <c r="F20" s="420"/>
      <c r="G20" s="420"/>
      <c r="H20" s="420"/>
      <c r="I20" s="429"/>
      <c r="J20" s="161"/>
    </row>
    <row r="21" spans="1:13" ht="15" customHeight="1" x14ac:dyDescent="0.2">
      <c r="A21" s="1"/>
      <c r="B21" s="160"/>
      <c r="C21" s="428"/>
      <c r="D21" s="420"/>
      <c r="E21" s="420"/>
      <c r="F21" s="420"/>
      <c r="G21" s="420"/>
      <c r="H21" s="420"/>
      <c r="I21" s="429"/>
      <c r="J21" s="161"/>
    </row>
    <row r="22" spans="1:13" ht="15" customHeight="1" x14ac:dyDescent="0.2">
      <c r="A22" s="1"/>
      <c r="B22" s="160"/>
      <c r="C22" s="432"/>
      <c r="D22" s="433"/>
      <c r="E22" s="433"/>
      <c r="F22" s="433"/>
      <c r="G22" s="433"/>
      <c r="H22" s="433"/>
      <c r="I22" s="434"/>
      <c r="J22" s="161"/>
    </row>
    <row r="23" spans="1:13" ht="15" customHeight="1" x14ac:dyDescent="0.2">
      <c r="A23" s="1"/>
      <c r="B23" s="162"/>
      <c r="C23" s="163"/>
      <c r="D23" s="163"/>
      <c r="E23" s="164"/>
      <c r="F23" s="164"/>
      <c r="G23" s="163"/>
      <c r="H23" s="163"/>
      <c r="I23" s="163"/>
      <c r="J23" s="165"/>
    </row>
    <row r="24" spans="1:13" ht="15" customHeight="1" x14ac:dyDescent="0.25">
      <c r="A24" s="1"/>
      <c r="B24" s="253" t="s">
        <v>1</v>
      </c>
      <c r="C24" s="251" t="s">
        <v>2</v>
      </c>
      <c r="D24" s="252" t="s">
        <v>3</v>
      </c>
      <c r="E24" s="252" t="s">
        <v>4</v>
      </c>
      <c r="F24" s="252" t="s">
        <v>5</v>
      </c>
      <c r="G24" s="252" t="s">
        <v>6</v>
      </c>
      <c r="H24" s="252" t="s">
        <v>7</v>
      </c>
      <c r="I24" s="252" t="s">
        <v>8</v>
      </c>
      <c r="J24" s="252" t="s">
        <v>9</v>
      </c>
    </row>
    <row r="25" spans="1:13" s="146" customFormat="1" ht="15" customHeight="1" x14ac:dyDescent="0.2">
      <c r="A25" s="147"/>
      <c r="B25" s="249" t="s">
        <v>157</v>
      </c>
      <c r="C25" s="250" t="s">
        <v>11</v>
      </c>
      <c r="D25" s="144"/>
      <c r="E25" s="126"/>
      <c r="F25" s="144"/>
      <c r="G25" s="144"/>
      <c r="H25" s="144"/>
      <c r="I25" s="144"/>
      <c r="J25" s="148"/>
      <c r="L25"/>
      <c r="M25"/>
    </row>
    <row r="26" spans="1:13" s="146" customFormat="1" ht="15" customHeight="1" x14ac:dyDescent="0.25">
      <c r="A26" s="143"/>
      <c r="B26" s="247" t="str">
        <f>+B25 &amp;".03.01"</f>
        <v>02.03.01</v>
      </c>
      <c r="C26" s="248" t="str">
        <f>"UBS AH PARA I.E. PRIMARIA ("&amp;1&amp;" und)"</f>
        <v>UBS AH PARA I.E. PRIMARIA (1 und)</v>
      </c>
      <c r="D26" s="144"/>
      <c r="E26" s="126"/>
      <c r="F26" s="140"/>
      <c r="G26" s="140"/>
      <c r="H26" s="140"/>
      <c r="I26" s="140"/>
      <c r="J26" s="145"/>
      <c r="L26"/>
      <c r="M26"/>
    </row>
    <row r="27" spans="1:13" ht="15" customHeight="1" x14ac:dyDescent="0.25">
      <c r="A27" s="136"/>
      <c r="B27" s="243" t="str">
        <f>+B26 &amp;".01"</f>
        <v>02.03.01.01</v>
      </c>
      <c r="C27" s="244" t="s">
        <v>138</v>
      </c>
      <c r="D27" s="128"/>
      <c r="E27" s="126"/>
      <c r="F27" s="123"/>
      <c r="G27" s="140"/>
      <c r="H27" s="123"/>
      <c r="I27" s="123"/>
      <c r="J27" s="145"/>
    </row>
    <row r="28" spans="1:13" ht="15" customHeight="1" x14ac:dyDescent="0.2">
      <c r="A28" s="3"/>
      <c r="B28" s="245" t="str">
        <f>$B$27 &amp; ".01"</f>
        <v>02.03.01.01.01</v>
      </c>
      <c r="C28" s="246" t="s">
        <v>13</v>
      </c>
      <c r="D28" s="128"/>
      <c r="E28" s="126">
        <v>1</v>
      </c>
      <c r="F28" s="123"/>
      <c r="G28" s="140"/>
      <c r="H28" s="123"/>
      <c r="I28" s="123"/>
      <c r="J28" s="145"/>
    </row>
    <row r="29" spans="1:13" ht="15" customHeight="1" x14ac:dyDescent="0.2">
      <c r="A29" s="1"/>
      <c r="B29" s="187" t="str">
        <f>$B$28 &amp; ".01"</f>
        <v>02.03.01.01.01.01</v>
      </c>
      <c r="C29" s="188" t="s">
        <v>155</v>
      </c>
      <c r="D29" s="125" t="s">
        <v>14</v>
      </c>
      <c r="E29" s="167"/>
      <c r="F29" s="123"/>
      <c r="G29" s="123"/>
      <c r="H29" s="123"/>
      <c r="I29" s="130">
        <f>+SUM(I30:I31)</f>
        <v>18.52</v>
      </c>
      <c r="J29" s="145">
        <f>+$E$28*I29</f>
        <v>18.52</v>
      </c>
    </row>
    <row r="30" spans="1:13" ht="15" customHeight="1" x14ac:dyDescent="0.2">
      <c r="A30" s="1"/>
      <c r="B30" s="160"/>
      <c r="C30" s="124" t="s">
        <v>15</v>
      </c>
      <c r="D30" s="125"/>
      <c r="E30" s="167">
        <v>1</v>
      </c>
      <c r="F30" s="123">
        <v>5.0999999999999996</v>
      </c>
      <c r="G30" s="123">
        <v>1.6</v>
      </c>
      <c r="H30" s="123"/>
      <c r="I30" s="123">
        <f t="shared" ref="I30:I31" si="0">+ROUND(PRODUCT(E30:H30),2)</f>
        <v>8.16</v>
      </c>
      <c r="J30" s="145"/>
    </row>
    <row r="31" spans="1:13" ht="15" customHeight="1" x14ac:dyDescent="0.2">
      <c r="A31" s="1"/>
      <c r="B31" s="160"/>
      <c r="C31" s="124" t="s">
        <v>12</v>
      </c>
      <c r="D31" s="125"/>
      <c r="E31" s="167">
        <v>1</v>
      </c>
      <c r="F31" s="123" t="s">
        <v>121</v>
      </c>
      <c r="G31" s="123">
        <v>10.363200000000001</v>
      </c>
      <c r="H31" s="123"/>
      <c r="I31" s="123">
        <f t="shared" si="0"/>
        <v>10.36</v>
      </c>
      <c r="J31" s="145"/>
    </row>
    <row r="32" spans="1:13" ht="15" customHeight="1" x14ac:dyDescent="0.2">
      <c r="A32" s="1"/>
      <c r="B32" s="160"/>
      <c r="C32" s="124"/>
      <c r="D32" s="125"/>
      <c r="E32" s="167"/>
      <c r="F32" s="123"/>
      <c r="G32" s="123"/>
      <c r="H32" s="123"/>
      <c r="I32" s="123"/>
      <c r="J32" s="145"/>
    </row>
    <row r="33" spans="1:10" ht="15" customHeight="1" x14ac:dyDescent="0.2">
      <c r="A33" s="1"/>
      <c r="B33" s="189" t="str">
        <f>$B$28 &amp; ".02"</f>
        <v>02.03.01.01.01.02</v>
      </c>
      <c r="C33" s="190" t="s">
        <v>16</v>
      </c>
      <c r="D33" s="125" t="s">
        <v>14</v>
      </c>
      <c r="E33" s="168"/>
      <c r="F33" s="123"/>
      <c r="G33" s="123"/>
      <c r="H33" s="123"/>
      <c r="I33" s="130">
        <f>+SUM(I34:I35)</f>
        <v>18.52</v>
      </c>
      <c r="J33" s="145">
        <f>+$E$28*I33</f>
        <v>18.52</v>
      </c>
    </row>
    <row r="34" spans="1:10" ht="15" customHeight="1" x14ac:dyDescent="0.2">
      <c r="A34" s="1"/>
      <c r="B34" s="160"/>
      <c r="C34" s="124" t="s">
        <v>15</v>
      </c>
      <c r="D34" s="125"/>
      <c r="E34" s="167">
        <v>1</v>
      </c>
      <c r="F34" s="123">
        <f>F30</f>
        <v>5.0999999999999996</v>
      </c>
      <c r="G34" s="123">
        <f>G30</f>
        <v>1.6</v>
      </c>
      <c r="H34" s="123"/>
      <c r="I34" s="123">
        <f t="shared" ref="I34:I35" si="1">+ROUND(PRODUCT(E34:H34),2)</f>
        <v>8.16</v>
      </c>
      <c r="J34" s="145"/>
    </row>
    <row r="35" spans="1:10" ht="15" customHeight="1" x14ac:dyDescent="0.2">
      <c r="A35" s="1"/>
      <c r="B35" s="160"/>
      <c r="C35" s="124" t="s">
        <v>12</v>
      </c>
      <c r="D35" s="125"/>
      <c r="E35" s="167">
        <v>1</v>
      </c>
      <c r="F35" s="123" t="s">
        <v>121</v>
      </c>
      <c r="G35" s="123">
        <f>G31</f>
        <v>10.363200000000001</v>
      </c>
      <c r="H35" s="123"/>
      <c r="I35" s="123">
        <f t="shared" si="1"/>
        <v>10.36</v>
      </c>
      <c r="J35" s="145"/>
    </row>
    <row r="36" spans="1:10" ht="15" customHeight="1" x14ac:dyDescent="0.2">
      <c r="A36" s="1"/>
      <c r="B36" s="160"/>
      <c r="C36" s="169"/>
      <c r="D36" s="125"/>
      <c r="E36" s="167"/>
      <c r="F36" s="123"/>
      <c r="G36" s="123"/>
      <c r="H36" s="123"/>
      <c r="I36" s="123"/>
      <c r="J36" s="145"/>
    </row>
    <row r="37" spans="1:10" ht="15" customHeight="1" x14ac:dyDescent="0.2">
      <c r="A37" s="3"/>
      <c r="B37" s="189" t="str">
        <f>$B$28 &amp; ".03"</f>
        <v>02.03.01.01.01.03</v>
      </c>
      <c r="C37" s="190" t="s">
        <v>18</v>
      </c>
      <c r="D37" s="125" t="s">
        <v>14</v>
      </c>
      <c r="E37" s="168"/>
      <c r="F37" s="123"/>
      <c r="G37" s="123"/>
      <c r="H37" s="123"/>
      <c r="I37" s="130">
        <f>+SUM(I38:I39)</f>
        <v>18.52</v>
      </c>
      <c r="J37" s="145">
        <f>+$E$28*I37</f>
        <v>18.52</v>
      </c>
    </row>
    <row r="38" spans="1:10" ht="15" customHeight="1" x14ac:dyDescent="0.2">
      <c r="A38" s="1"/>
      <c r="B38" s="160"/>
      <c r="C38" s="124" t="s">
        <v>15</v>
      </c>
      <c r="D38" s="125"/>
      <c r="E38" s="167">
        <v>1</v>
      </c>
      <c r="F38" s="123">
        <f>F34</f>
        <v>5.0999999999999996</v>
      </c>
      <c r="G38" s="123">
        <f>G34</f>
        <v>1.6</v>
      </c>
      <c r="H38" s="123"/>
      <c r="I38" s="123">
        <f t="shared" ref="I38:I39" si="2">+ROUND(PRODUCT(E38:H38),2)</f>
        <v>8.16</v>
      </c>
      <c r="J38" s="145"/>
    </row>
    <row r="39" spans="1:10" ht="16.899999999999999" customHeight="1" x14ac:dyDescent="0.2">
      <c r="A39" s="1"/>
      <c r="B39" s="160"/>
      <c r="C39" s="124" t="s">
        <v>12</v>
      </c>
      <c r="D39" s="125"/>
      <c r="E39" s="167">
        <v>1</v>
      </c>
      <c r="F39" s="123" t="s">
        <v>121</v>
      </c>
      <c r="G39" s="123">
        <f>G35</f>
        <v>10.363200000000001</v>
      </c>
      <c r="H39" s="123"/>
      <c r="I39" s="123">
        <f t="shared" si="2"/>
        <v>10.36</v>
      </c>
      <c r="J39" s="145"/>
    </row>
    <row r="40" spans="1:10" ht="16.899999999999999" customHeight="1" x14ac:dyDescent="0.2">
      <c r="A40" s="1"/>
      <c r="B40" s="160"/>
      <c r="C40" s="124"/>
      <c r="D40" s="125"/>
      <c r="E40" s="167"/>
      <c r="F40" s="123"/>
      <c r="G40" s="123"/>
      <c r="H40" s="123"/>
      <c r="I40" s="123"/>
      <c r="J40" s="145"/>
    </row>
    <row r="41" spans="1:10" ht="15" customHeight="1" x14ac:dyDescent="0.2">
      <c r="A41" s="3"/>
      <c r="B41" s="245" t="str">
        <f>$B$27 &amp; ".02"</f>
        <v>02.03.01.01.02</v>
      </c>
      <c r="C41" s="246" t="s">
        <v>19</v>
      </c>
      <c r="D41" s="128"/>
      <c r="E41" s="126">
        <f>E28</f>
        <v>1</v>
      </c>
      <c r="F41" s="123"/>
      <c r="G41" s="140"/>
      <c r="H41" s="123"/>
      <c r="I41" s="123"/>
      <c r="J41" s="145"/>
    </row>
    <row r="42" spans="1:10" ht="15" customHeight="1" x14ac:dyDescent="0.2">
      <c r="A42" s="1"/>
      <c r="B42" s="187" t="str">
        <f>$B$41 &amp; ".01"</f>
        <v>02.03.01.01.02.01</v>
      </c>
      <c r="C42" s="188" t="s">
        <v>20</v>
      </c>
      <c r="D42" s="125" t="s">
        <v>21</v>
      </c>
      <c r="E42" s="167"/>
      <c r="F42" s="123"/>
      <c r="G42" s="123"/>
      <c r="H42" s="123"/>
      <c r="I42" s="130">
        <f>SUM(I43:I47)</f>
        <v>5.84</v>
      </c>
      <c r="J42" s="145">
        <f>+$E$41*I42</f>
        <v>5.84</v>
      </c>
    </row>
    <row r="43" spans="1:10" ht="15" customHeight="1" x14ac:dyDescent="0.2">
      <c r="A43" s="1"/>
      <c r="B43" s="166"/>
      <c r="C43" s="186" t="s">
        <v>158</v>
      </c>
      <c r="D43" s="125"/>
      <c r="E43" s="167">
        <v>3</v>
      </c>
      <c r="F43" s="123">
        <v>1.05</v>
      </c>
      <c r="G43" s="123">
        <v>1.25</v>
      </c>
      <c r="H43" s="123">
        <v>0.2</v>
      </c>
      <c r="I43" s="123">
        <f t="shared" ref="I43:I47" si="3">+ROUND(PRODUCT(E43:H43),2)</f>
        <v>0.79</v>
      </c>
      <c r="J43" s="145"/>
    </row>
    <row r="44" spans="1:10" ht="15" customHeight="1" x14ac:dyDescent="0.2">
      <c r="A44" s="1"/>
      <c r="B44" s="160"/>
      <c r="C44" s="124" t="s">
        <v>22</v>
      </c>
      <c r="D44" s="125"/>
      <c r="E44" s="167"/>
      <c r="F44" s="123"/>
      <c r="G44" s="123"/>
      <c r="H44" s="123"/>
      <c r="I44" s="123"/>
      <c r="J44" s="145"/>
    </row>
    <row r="45" spans="1:10" ht="15" customHeight="1" x14ac:dyDescent="0.2">
      <c r="A45" s="1"/>
      <c r="B45" s="150"/>
      <c r="C45" s="124" t="s">
        <v>116</v>
      </c>
      <c r="D45" s="125"/>
      <c r="E45" s="167">
        <v>2</v>
      </c>
      <c r="F45" s="123">
        <v>5.35</v>
      </c>
      <c r="G45" s="123">
        <v>0.4</v>
      </c>
      <c r="H45" s="123">
        <v>0.5</v>
      </c>
      <c r="I45" s="123">
        <f t="shared" si="3"/>
        <v>2.14</v>
      </c>
      <c r="J45" s="145"/>
    </row>
    <row r="46" spans="1:10" ht="15" customHeight="1" x14ac:dyDescent="0.2">
      <c r="A46" s="1"/>
      <c r="B46" s="150"/>
      <c r="C46" s="199" t="s">
        <v>275</v>
      </c>
      <c r="D46" s="125"/>
      <c r="E46" s="167">
        <v>4</v>
      </c>
      <c r="F46" s="123">
        <v>1.05</v>
      </c>
      <c r="G46" s="123">
        <v>0.4</v>
      </c>
      <c r="H46" s="123">
        <v>0.5</v>
      </c>
      <c r="I46" s="123">
        <f t="shared" si="3"/>
        <v>0.84</v>
      </c>
      <c r="J46" s="145"/>
    </row>
    <row r="47" spans="1:10" ht="15" customHeight="1" x14ac:dyDescent="0.2">
      <c r="A47" s="1"/>
      <c r="B47" s="160"/>
      <c r="C47" s="124" t="s">
        <v>12</v>
      </c>
      <c r="D47" s="125"/>
      <c r="E47" s="167">
        <v>1</v>
      </c>
      <c r="F47" s="123" t="s">
        <v>121</v>
      </c>
      <c r="G47" s="123">
        <f>G39</f>
        <v>10.363200000000001</v>
      </c>
      <c r="H47" s="123">
        <v>0.2</v>
      </c>
      <c r="I47" s="123">
        <f t="shared" si="3"/>
        <v>2.0699999999999998</v>
      </c>
      <c r="J47" s="145"/>
    </row>
    <row r="48" spans="1:10" ht="15" customHeight="1" x14ac:dyDescent="0.2">
      <c r="A48" s="1"/>
      <c r="B48" s="150"/>
      <c r="C48" s="132"/>
      <c r="D48" s="125"/>
      <c r="E48" s="167"/>
      <c r="F48" s="123"/>
      <c r="G48" s="123"/>
      <c r="H48" s="123"/>
      <c r="I48" s="123"/>
      <c r="J48" s="145"/>
    </row>
    <row r="49" spans="1:10" ht="15" customHeight="1" x14ac:dyDescent="0.2">
      <c r="A49" s="1"/>
      <c r="B49" s="187" t="str">
        <f>$B$41 &amp; ".02"</f>
        <v>02.03.01.01.02.02</v>
      </c>
      <c r="C49" s="188" t="s">
        <v>133</v>
      </c>
      <c r="D49" s="125" t="s">
        <v>14</v>
      </c>
      <c r="E49" s="167"/>
      <c r="F49" s="123"/>
      <c r="G49" s="123"/>
      <c r="H49" s="123"/>
      <c r="I49" s="130">
        <f>SUM(I50:I51)</f>
        <v>18.52</v>
      </c>
      <c r="J49" s="145">
        <f>+$E$41*I49</f>
        <v>18.52</v>
      </c>
    </row>
    <row r="50" spans="1:10" ht="15" customHeight="1" x14ac:dyDescent="0.2">
      <c r="A50" s="1"/>
      <c r="B50" s="170"/>
      <c r="C50" s="124" t="s">
        <v>15</v>
      </c>
      <c r="D50" s="125"/>
      <c r="E50" s="167">
        <v>1</v>
      </c>
      <c r="F50" s="123">
        <f>F30</f>
        <v>5.0999999999999996</v>
      </c>
      <c r="G50" s="123">
        <f>G30</f>
        <v>1.6</v>
      </c>
      <c r="H50" s="123"/>
      <c r="I50" s="123">
        <f t="shared" ref="I50:I51" si="4">+ROUND(PRODUCT(E50:H50),2)</f>
        <v>8.16</v>
      </c>
      <c r="J50" s="145"/>
    </row>
    <row r="51" spans="1:10" ht="15" customHeight="1" x14ac:dyDescent="0.2">
      <c r="A51" s="1"/>
      <c r="B51" s="166"/>
      <c r="C51" s="124" t="s">
        <v>12</v>
      </c>
      <c r="D51" s="125"/>
      <c r="E51" s="167">
        <v>1</v>
      </c>
      <c r="F51" s="123" t="s">
        <v>121</v>
      </c>
      <c r="G51" s="123">
        <f>G31</f>
        <v>10.363200000000001</v>
      </c>
      <c r="H51" s="123"/>
      <c r="I51" s="123">
        <f t="shared" si="4"/>
        <v>10.36</v>
      </c>
      <c r="J51" s="145"/>
    </row>
    <row r="52" spans="1:10" ht="15" customHeight="1" x14ac:dyDescent="0.2">
      <c r="A52" s="1"/>
      <c r="B52" s="166"/>
      <c r="C52" s="132"/>
      <c r="D52" s="125"/>
      <c r="E52" s="167"/>
      <c r="F52" s="123"/>
      <c r="G52" s="123"/>
      <c r="H52" s="123"/>
      <c r="I52" s="123"/>
      <c r="J52" s="145"/>
    </row>
    <row r="53" spans="1:10" ht="15" customHeight="1" x14ac:dyDescent="0.2">
      <c r="A53" s="1"/>
      <c r="B53" s="187" t="str">
        <f>$B$41 &amp; ".03"</f>
        <v>02.03.01.01.02.03</v>
      </c>
      <c r="C53" s="188" t="s">
        <v>321</v>
      </c>
      <c r="D53" s="125"/>
      <c r="E53" s="167"/>
      <c r="F53" s="123"/>
      <c r="G53" s="123"/>
      <c r="H53" s="123"/>
      <c r="I53" s="198">
        <f>I54+I55+I56</f>
        <v>1.1099999999999999</v>
      </c>
      <c r="J53" s="145">
        <f>I53*E41</f>
        <v>1.1099999999999999</v>
      </c>
    </row>
    <row r="54" spans="1:10" ht="15" customHeight="1" x14ac:dyDescent="0.2">
      <c r="A54" s="1"/>
      <c r="B54" s="170"/>
      <c r="C54" s="124" t="s">
        <v>160</v>
      </c>
      <c r="D54" s="125"/>
      <c r="E54" s="167">
        <v>3</v>
      </c>
      <c r="F54" s="123">
        <v>1.05</v>
      </c>
      <c r="G54" s="123">
        <v>1.25</v>
      </c>
      <c r="H54" s="123">
        <v>0.1</v>
      </c>
      <c r="I54" s="123">
        <f t="shared" ref="I54:I56" si="5">+ROUND(PRODUCT(E54:H54),2)</f>
        <v>0.39</v>
      </c>
      <c r="J54" s="145"/>
    </row>
    <row r="55" spans="1:10" ht="15" customHeight="1" x14ac:dyDescent="0.2">
      <c r="A55" s="1"/>
      <c r="B55" s="166"/>
      <c r="C55" s="124" t="s">
        <v>12</v>
      </c>
      <c r="D55" s="125"/>
      <c r="E55" s="167">
        <v>1</v>
      </c>
      <c r="F55" s="123" t="s">
        <v>121</v>
      </c>
      <c r="G55" s="123">
        <v>0.01</v>
      </c>
      <c r="H55" s="123">
        <v>12.2</v>
      </c>
      <c r="I55" s="123">
        <f t="shared" si="5"/>
        <v>0.12</v>
      </c>
      <c r="J55" s="145"/>
    </row>
    <row r="56" spans="1:10" ht="15" customHeight="1" x14ac:dyDescent="0.2">
      <c r="A56" s="1"/>
      <c r="B56" s="166"/>
      <c r="C56" s="132"/>
      <c r="D56" s="125"/>
      <c r="E56" s="167"/>
      <c r="F56" s="123" t="s">
        <v>121</v>
      </c>
      <c r="G56" s="123">
        <v>0.105</v>
      </c>
      <c r="H56" s="123">
        <v>5.7</v>
      </c>
      <c r="I56" s="123">
        <f t="shared" si="5"/>
        <v>0.6</v>
      </c>
      <c r="J56" s="145"/>
    </row>
    <row r="57" spans="1:10" ht="15" customHeight="1" x14ac:dyDescent="0.2">
      <c r="A57" s="1"/>
      <c r="B57" s="166"/>
      <c r="C57" s="132"/>
      <c r="D57" s="125"/>
      <c r="E57" s="167"/>
      <c r="F57" s="123"/>
      <c r="G57" s="123"/>
      <c r="H57" s="123"/>
      <c r="I57" s="123"/>
      <c r="J57" s="145"/>
    </row>
    <row r="58" spans="1:10" ht="15" customHeight="1" x14ac:dyDescent="0.2">
      <c r="A58" s="1"/>
      <c r="B58" s="187" t="str">
        <f>$B$41 &amp; ".04"</f>
        <v>02.03.01.01.02.04</v>
      </c>
      <c r="C58" s="234" t="s">
        <v>24</v>
      </c>
      <c r="D58" s="235" t="s">
        <v>21</v>
      </c>
      <c r="E58" s="265"/>
      <c r="F58" s="237"/>
      <c r="G58" s="237"/>
      <c r="H58" s="237"/>
      <c r="I58" s="238">
        <f>SUM(I60:I62)</f>
        <v>5.52</v>
      </c>
      <c r="J58" s="266">
        <f>I58</f>
        <v>5.52</v>
      </c>
    </row>
    <row r="59" spans="1:10" ht="15" customHeight="1" x14ac:dyDescent="0.2">
      <c r="A59" s="1"/>
      <c r="B59" s="170"/>
      <c r="C59" s="267"/>
      <c r="D59" s="235"/>
      <c r="E59" s="265"/>
      <c r="F59" s="237"/>
      <c r="G59" s="237" t="s">
        <v>119</v>
      </c>
      <c r="H59" s="237" t="s">
        <v>120</v>
      </c>
      <c r="I59" s="238"/>
      <c r="J59" s="266"/>
    </row>
    <row r="60" spans="1:10" ht="17.45" customHeight="1" x14ac:dyDescent="0.2">
      <c r="A60" s="1"/>
      <c r="B60" s="170"/>
      <c r="C60" s="268" t="s">
        <v>117</v>
      </c>
      <c r="D60" s="235"/>
      <c r="E60" s="265">
        <v>1</v>
      </c>
      <c r="F60" s="239">
        <v>0.85</v>
      </c>
      <c r="G60" s="239">
        <f>J42</f>
        <v>5.84</v>
      </c>
      <c r="H60" s="239">
        <v>1.1499999999999999</v>
      </c>
      <c r="I60" s="237">
        <f t="shared" ref="I60:I62" si="6">+ROUND(PRODUCT(E60:H60),2)</f>
        <v>5.71</v>
      </c>
      <c r="J60" s="266"/>
    </row>
    <row r="61" spans="1:10" ht="17.45" customHeight="1" x14ac:dyDescent="0.2">
      <c r="A61" s="1"/>
      <c r="B61" s="170"/>
      <c r="C61" s="268" t="s">
        <v>118</v>
      </c>
      <c r="D61" s="235"/>
      <c r="E61" s="265">
        <v>1</v>
      </c>
      <c r="F61" s="239">
        <v>0.15</v>
      </c>
      <c r="G61" s="239">
        <f>J42</f>
        <v>5.84</v>
      </c>
      <c r="H61" s="239">
        <v>1.3</v>
      </c>
      <c r="I61" s="237">
        <f t="shared" si="6"/>
        <v>1.1399999999999999</v>
      </c>
      <c r="J61" s="266"/>
    </row>
    <row r="62" spans="1:10" ht="17.45" customHeight="1" x14ac:dyDescent="0.2">
      <c r="A62" s="1"/>
      <c r="B62" s="170"/>
      <c r="C62" s="269" t="s">
        <v>161</v>
      </c>
      <c r="D62" s="235"/>
      <c r="E62" s="265">
        <v>-1</v>
      </c>
      <c r="F62" s="239"/>
      <c r="G62" s="239">
        <f>J53</f>
        <v>1.1099999999999999</v>
      </c>
      <c r="H62" s="239">
        <v>1.2</v>
      </c>
      <c r="I62" s="237">
        <f t="shared" si="6"/>
        <v>-1.33</v>
      </c>
      <c r="J62" s="241"/>
    </row>
    <row r="63" spans="1:10" ht="17.45" customHeight="1" x14ac:dyDescent="0.2">
      <c r="A63" s="1"/>
      <c r="B63" s="170"/>
      <c r="C63" s="269"/>
      <c r="D63" s="235"/>
      <c r="E63" s="265"/>
      <c r="F63" s="239"/>
      <c r="G63" s="239"/>
      <c r="H63" s="239"/>
      <c r="I63" s="237"/>
      <c r="J63" s="241"/>
    </row>
    <row r="64" spans="1:10" ht="15" customHeight="1" x14ac:dyDescent="0.2">
      <c r="A64" s="3"/>
      <c r="B64" s="245" t="str">
        <f>$B$27 &amp; ".03"</f>
        <v>02.03.01.01.03</v>
      </c>
      <c r="C64" s="255" t="s">
        <v>25</v>
      </c>
      <c r="D64" s="270"/>
      <c r="E64" s="271">
        <f>E28</f>
        <v>1</v>
      </c>
      <c r="F64" s="237"/>
      <c r="G64" s="272"/>
      <c r="H64" s="237"/>
      <c r="I64" s="237"/>
      <c r="J64" s="273"/>
    </row>
    <row r="65" spans="1:10" ht="15" customHeight="1" x14ac:dyDescent="0.2">
      <c r="A65" s="1"/>
      <c r="B65" s="187" t="str">
        <f>$B$64 &amp; ".01"</f>
        <v>02.03.01.01.03.01</v>
      </c>
      <c r="C65" s="234" t="s">
        <v>26</v>
      </c>
      <c r="D65" s="235" t="s">
        <v>21</v>
      </c>
      <c r="E65" s="265"/>
      <c r="F65" s="237"/>
      <c r="G65" s="237"/>
      <c r="H65" s="237"/>
      <c r="I65" s="238">
        <f>SUM(I66:I67)</f>
        <v>2.98</v>
      </c>
      <c r="J65" s="266">
        <f>+$E$64*I65</f>
        <v>2.98</v>
      </c>
    </row>
    <row r="66" spans="1:10" ht="15" customHeight="1" x14ac:dyDescent="0.2">
      <c r="A66" s="1"/>
      <c r="B66" s="150"/>
      <c r="C66" s="240" t="s">
        <v>277</v>
      </c>
      <c r="D66" s="235"/>
      <c r="E66" s="265">
        <v>2</v>
      </c>
      <c r="F66" s="237">
        <v>5.35</v>
      </c>
      <c r="G66" s="237">
        <v>0.4</v>
      </c>
      <c r="H66" s="237">
        <v>0.5</v>
      </c>
      <c r="I66" s="237">
        <f t="shared" ref="I66:I67" si="7">+ROUND(PRODUCT(E66:H66),2)</f>
        <v>2.14</v>
      </c>
      <c r="J66" s="266"/>
    </row>
    <row r="67" spans="1:10" ht="15" customHeight="1" x14ac:dyDescent="0.2">
      <c r="A67" s="1"/>
      <c r="B67" s="150"/>
      <c r="C67" s="240" t="s">
        <v>276</v>
      </c>
      <c r="D67" s="235"/>
      <c r="E67" s="265">
        <v>4</v>
      </c>
      <c r="F67" s="237">
        <v>1.05</v>
      </c>
      <c r="G67" s="237">
        <v>0.4</v>
      </c>
      <c r="H67" s="237">
        <v>0.5</v>
      </c>
      <c r="I67" s="237">
        <f t="shared" si="7"/>
        <v>0.84</v>
      </c>
      <c r="J67" s="266"/>
    </row>
    <row r="68" spans="1:10" ht="15" customHeight="1" x14ac:dyDescent="0.2">
      <c r="A68" s="1"/>
      <c r="B68" s="150"/>
      <c r="C68" s="274"/>
      <c r="D68" s="235"/>
      <c r="E68" s="265"/>
      <c r="F68" s="237"/>
      <c r="G68" s="237"/>
      <c r="H68" s="237"/>
      <c r="I68" s="237"/>
      <c r="J68" s="266"/>
    </row>
    <row r="69" spans="1:10" ht="15" customHeight="1" x14ac:dyDescent="0.2">
      <c r="A69" s="1"/>
      <c r="B69" s="187" t="str">
        <f>$B$64 &amp; ".02"</f>
        <v>02.03.01.01.03.02</v>
      </c>
      <c r="C69" s="234" t="s">
        <v>27</v>
      </c>
      <c r="D69" s="235" t="s">
        <v>21</v>
      </c>
      <c r="E69" s="265"/>
      <c r="F69" s="273"/>
      <c r="G69" s="237"/>
      <c r="H69" s="237"/>
      <c r="I69" s="238">
        <f>SUM(I70:I72)</f>
        <v>0.46</v>
      </c>
      <c r="J69" s="266">
        <f>+$E$64*I69</f>
        <v>0.46</v>
      </c>
    </row>
    <row r="70" spans="1:10" ht="15" customHeight="1" x14ac:dyDescent="0.2">
      <c r="A70" s="1"/>
      <c r="B70" s="150"/>
      <c r="C70" s="240" t="s">
        <v>279</v>
      </c>
      <c r="D70" s="235"/>
      <c r="E70" s="265">
        <v>1</v>
      </c>
      <c r="F70" s="237">
        <v>2.1</v>
      </c>
      <c r="G70" s="237">
        <v>0.13</v>
      </c>
      <c r="H70" s="237">
        <v>0.3</v>
      </c>
      <c r="I70" s="237">
        <f>+ROUND(PRODUCT(E70:H70),2)</f>
        <v>0.08</v>
      </c>
      <c r="J70" s="266"/>
    </row>
    <row r="71" spans="1:10" ht="15" customHeight="1" x14ac:dyDescent="0.2">
      <c r="A71" s="1"/>
      <c r="B71" s="150"/>
      <c r="C71" s="240" t="s">
        <v>280</v>
      </c>
      <c r="D71" s="235"/>
      <c r="E71" s="265">
        <v>1</v>
      </c>
      <c r="F71" s="237">
        <v>4.5</v>
      </c>
      <c r="G71" s="237">
        <v>0.13</v>
      </c>
      <c r="H71" s="237">
        <v>0.3</v>
      </c>
      <c r="I71" s="237">
        <f>+ROUND(PRODUCT(E71:H71),2)</f>
        <v>0.18</v>
      </c>
      <c r="J71" s="266"/>
    </row>
    <row r="72" spans="1:10" ht="15" customHeight="1" x14ac:dyDescent="0.2">
      <c r="A72" s="1"/>
      <c r="B72" s="150"/>
      <c r="C72" s="240" t="s">
        <v>278</v>
      </c>
      <c r="D72" s="235"/>
      <c r="E72" s="265">
        <v>4</v>
      </c>
      <c r="F72" s="237">
        <v>1.3</v>
      </c>
      <c r="G72" s="237">
        <v>0.13</v>
      </c>
      <c r="H72" s="237">
        <v>0.3</v>
      </c>
      <c r="I72" s="237">
        <f>+ROUND(PRODUCT(E72:H72),2)</f>
        <v>0.2</v>
      </c>
      <c r="J72" s="266"/>
    </row>
    <row r="73" spans="1:10" ht="15" customHeight="1" x14ac:dyDescent="0.2">
      <c r="A73" s="1"/>
      <c r="B73" s="150"/>
      <c r="C73" s="275"/>
      <c r="D73" s="235"/>
      <c r="E73" s="265"/>
      <c r="F73" s="237"/>
      <c r="G73" s="237"/>
      <c r="H73" s="237"/>
      <c r="I73" s="237"/>
      <c r="J73" s="266"/>
    </row>
    <row r="74" spans="1:10" ht="15" customHeight="1" x14ac:dyDescent="0.2">
      <c r="A74" s="1"/>
      <c r="B74" s="187" t="str">
        <f>$B$64 &amp; ".03"</f>
        <v>02.03.01.01.03.03</v>
      </c>
      <c r="C74" s="234" t="s">
        <v>28</v>
      </c>
      <c r="D74" s="235" t="s">
        <v>14</v>
      </c>
      <c r="E74" s="265"/>
      <c r="F74" s="237"/>
      <c r="G74" s="237"/>
      <c r="H74" s="237"/>
      <c r="I74" s="238">
        <f>SUM(I75:I75)</f>
        <v>1.28</v>
      </c>
      <c r="J74" s="266">
        <f>+E64*I74</f>
        <v>1.28</v>
      </c>
    </row>
    <row r="75" spans="1:10" ht="14.25" customHeight="1" x14ac:dyDescent="0.2">
      <c r="A75" s="1"/>
      <c r="B75" s="150"/>
      <c r="C75" s="240" t="s">
        <v>327</v>
      </c>
      <c r="D75" s="256"/>
      <c r="E75" s="276">
        <v>8</v>
      </c>
      <c r="F75" s="242">
        <v>0.4</v>
      </c>
      <c r="G75" s="242">
        <v>0.4</v>
      </c>
      <c r="H75" s="242"/>
      <c r="I75" s="242">
        <f t="shared" ref="I75" si="8">+ROUND(PRODUCT(E75:H75),2)</f>
        <v>1.28</v>
      </c>
      <c r="J75" s="277"/>
    </row>
    <row r="76" spans="1:10" ht="15" customHeight="1" x14ac:dyDescent="0.2">
      <c r="A76" s="1"/>
      <c r="B76" s="150"/>
      <c r="C76" s="274"/>
      <c r="D76" s="235"/>
      <c r="E76" s="265"/>
      <c r="F76" s="237"/>
      <c r="G76" s="237"/>
      <c r="H76" s="237"/>
      <c r="I76" s="237"/>
      <c r="J76" s="266"/>
    </row>
    <row r="77" spans="1:10" ht="15.75" customHeight="1" x14ac:dyDescent="0.2">
      <c r="A77" s="1"/>
      <c r="B77" s="187" t="str">
        <f>$B$64 &amp; ".04"</f>
        <v>02.03.01.01.03.04</v>
      </c>
      <c r="C77" s="234" t="s">
        <v>134</v>
      </c>
      <c r="D77" s="235" t="s">
        <v>14</v>
      </c>
      <c r="E77" s="265"/>
      <c r="F77" s="237"/>
      <c r="G77" s="237"/>
      <c r="H77" s="237"/>
      <c r="I77" s="238">
        <f>SUM(I78:I81)</f>
        <v>7.22</v>
      </c>
      <c r="J77" s="266">
        <f>+$E$64*I77</f>
        <v>7.22</v>
      </c>
    </row>
    <row r="78" spans="1:10" ht="15" customHeight="1" x14ac:dyDescent="0.2">
      <c r="A78" s="1"/>
      <c r="B78" s="150"/>
      <c r="C78" s="240" t="s">
        <v>279</v>
      </c>
      <c r="D78" s="235"/>
      <c r="E78" s="265">
        <v>2</v>
      </c>
      <c r="F78" s="237">
        <v>2.1</v>
      </c>
      <c r="G78" s="237"/>
      <c r="H78" s="237">
        <v>0.3</v>
      </c>
      <c r="I78" s="237">
        <f t="shared" ref="I78:I81" si="9">+ROUND(PRODUCT(E78:H78),2)</f>
        <v>1.26</v>
      </c>
      <c r="J78" s="266"/>
    </row>
    <row r="79" spans="1:10" ht="15" customHeight="1" x14ac:dyDescent="0.2">
      <c r="A79" s="1"/>
      <c r="B79" s="150"/>
      <c r="C79" s="240"/>
      <c r="D79" s="235"/>
      <c r="E79" s="265">
        <v>3</v>
      </c>
      <c r="F79" s="237">
        <v>0.15</v>
      </c>
      <c r="G79" s="237"/>
      <c r="H79" s="237">
        <v>0.3</v>
      </c>
      <c r="I79" s="237">
        <f t="shared" si="9"/>
        <v>0.14000000000000001</v>
      </c>
      <c r="J79" s="266"/>
    </row>
    <row r="80" spans="1:10" ht="15" customHeight="1" x14ac:dyDescent="0.2">
      <c r="A80" s="1"/>
      <c r="B80" s="150"/>
      <c r="C80" s="240" t="s">
        <v>280</v>
      </c>
      <c r="D80" s="235"/>
      <c r="E80" s="265">
        <v>2</v>
      </c>
      <c r="F80" s="237">
        <v>4.5</v>
      </c>
      <c r="G80" s="237"/>
      <c r="H80" s="237">
        <v>0.3</v>
      </c>
      <c r="I80" s="237">
        <f t="shared" si="9"/>
        <v>2.7</v>
      </c>
      <c r="J80" s="266"/>
    </row>
    <row r="81" spans="1:10" ht="15" customHeight="1" x14ac:dyDescent="0.2">
      <c r="A81" s="1"/>
      <c r="B81" s="150"/>
      <c r="C81" s="240" t="s">
        <v>278</v>
      </c>
      <c r="D81" s="235"/>
      <c r="E81" s="265">
        <v>8</v>
      </c>
      <c r="F81" s="237">
        <v>1.3</v>
      </c>
      <c r="G81" s="237"/>
      <c r="H81" s="237">
        <v>0.3</v>
      </c>
      <c r="I81" s="237">
        <f t="shared" si="9"/>
        <v>3.12</v>
      </c>
      <c r="J81" s="278"/>
    </row>
    <row r="82" spans="1:10" ht="15" customHeight="1" x14ac:dyDescent="0.2">
      <c r="A82" s="1"/>
      <c r="B82" s="150"/>
      <c r="C82" s="279"/>
      <c r="D82" s="235"/>
      <c r="E82" s="265"/>
      <c r="F82" s="237"/>
      <c r="G82" s="237"/>
      <c r="H82" s="237"/>
      <c r="I82" s="237"/>
      <c r="J82" s="278"/>
    </row>
    <row r="83" spans="1:10" ht="15" customHeight="1" x14ac:dyDescent="0.2">
      <c r="A83" s="1"/>
      <c r="B83" s="187" t="str">
        <f>$B$64 &amp; ".05"</f>
        <v>02.03.01.01.03.05</v>
      </c>
      <c r="C83" s="234" t="s">
        <v>165</v>
      </c>
      <c r="D83" s="235" t="s">
        <v>21</v>
      </c>
      <c r="E83" s="265"/>
      <c r="F83" s="237"/>
      <c r="G83" s="237"/>
      <c r="H83" s="237"/>
      <c r="I83" s="238">
        <f>SUM(I84:I85)</f>
        <v>0.02</v>
      </c>
      <c r="J83" s="266">
        <f>+$E$64*I83</f>
        <v>0.02</v>
      </c>
    </row>
    <row r="84" spans="1:10" ht="15" customHeight="1" x14ac:dyDescent="0.2">
      <c r="A84" s="1"/>
      <c r="B84" s="150"/>
      <c r="C84" s="240" t="s">
        <v>166</v>
      </c>
      <c r="D84" s="235"/>
      <c r="E84" s="265">
        <v>1</v>
      </c>
      <c r="F84" s="237">
        <v>0.1</v>
      </c>
      <c r="G84" s="237">
        <v>0.1</v>
      </c>
      <c r="H84" s="237">
        <v>1.6</v>
      </c>
      <c r="I84" s="237">
        <f t="shared" ref="I84" si="10">+ROUND(PRODUCT(E84:H84),2)</f>
        <v>0.02</v>
      </c>
      <c r="J84" s="278"/>
    </row>
    <row r="85" spans="1:10" ht="15" customHeight="1" x14ac:dyDescent="0.2">
      <c r="A85" s="1"/>
      <c r="B85" s="150"/>
      <c r="C85" s="279"/>
      <c r="D85" s="235"/>
      <c r="E85" s="265"/>
      <c r="F85" s="237"/>
      <c r="G85" s="237"/>
      <c r="H85" s="237"/>
      <c r="I85" s="237"/>
      <c r="J85" s="278"/>
    </row>
    <row r="86" spans="1:10" ht="15" customHeight="1" x14ac:dyDescent="0.2">
      <c r="A86" s="1"/>
      <c r="B86" s="187" t="str">
        <f>$B$64 &amp; ".06"</f>
        <v>02.03.01.01.03.06</v>
      </c>
      <c r="C86" s="234" t="s">
        <v>167</v>
      </c>
      <c r="D86" s="235" t="s">
        <v>14</v>
      </c>
      <c r="E86" s="265"/>
      <c r="F86" s="237"/>
      <c r="G86" s="237"/>
      <c r="H86" s="237"/>
      <c r="I86" s="238">
        <f>SUM(I87:I88)</f>
        <v>1.44</v>
      </c>
      <c r="J86" s="266">
        <f>+$E$64*I86</f>
        <v>1.44</v>
      </c>
    </row>
    <row r="87" spans="1:10" ht="15" customHeight="1" x14ac:dyDescent="0.2">
      <c r="A87" s="1"/>
      <c r="B87" s="150"/>
      <c r="C87" s="240" t="s">
        <v>166</v>
      </c>
      <c r="D87" s="235"/>
      <c r="E87" s="265">
        <v>3</v>
      </c>
      <c r="F87" s="237">
        <v>0.3</v>
      </c>
      <c r="G87" s="237"/>
      <c r="H87" s="237">
        <v>1.6</v>
      </c>
      <c r="I87" s="237">
        <f t="shared" ref="I87" si="11">+ROUND(PRODUCT(E87:H87),2)</f>
        <v>1.44</v>
      </c>
      <c r="J87" s="278"/>
    </row>
    <row r="88" spans="1:10" ht="15" customHeight="1" x14ac:dyDescent="0.2">
      <c r="A88" s="1"/>
      <c r="B88" s="150"/>
      <c r="C88" s="279"/>
      <c r="D88" s="235"/>
      <c r="E88" s="265"/>
      <c r="F88" s="237"/>
      <c r="G88" s="237"/>
      <c r="H88" s="237"/>
      <c r="I88" s="237"/>
      <c r="J88" s="278"/>
    </row>
    <row r="89" spans="1:10" ht="15" customHeight="1" x14ac:dyDescent="0.2">
      <c r="A89" s="1"/>
      <c r="B89" s="245" t="str">
        <f>$B$27 &amp; ".04"</f>
        <v>02.03.01.01.04</v>
      </c>
      <c r="C89" s="255" t="s">
        <v>30</v>
      </c>
      <c r="D89" s="270"/>
      <c r="E89" s="271">
        <f>E64</f>
        <v>1</v>
      </c>
      <c r="F89" s="237"/>
      <c r="G89" s="272"/>
      <c r="H89" s="237"/>
      <c r="I89" s="237"/>
      <c r="J89" s="266"/>
    </row>
    <row r="90" spans="1:10" ht="15.75" customHeight="1" x14ac:dyDescent="0.2">
      <c r="A90" s="1"/>
      <c r="B90" s="187" t="str">
        <f>$B$89 &amp; ".01"</f>
        <v>02.03.01.01.04.01</v>
      </c>
      <c r="C90" s="234" t="s">
        <v>162</v>
      </c>
      <c r="D90" s="235" t="s">
        <v>21</v>
      </c>
      <c r="E90" s="265"/>
      <c r="F90" s="237"/>
      <c r="G90" s="237"/>
      <c r="H90" s="237"/>
      <c r="I90" s="238">
        <f>SUM(I91:I92)</f>
        <v>0.41000000000000003</v>
      </c>
      <c r="J90" s="266">
        <f>+$E$89*I90</f>
        <v>0.41000000000000003</v>
      </c>
    </row>
    <row r="91" spans="1:10" ht="15" customHeight="1" x14ac:dyDescent="0.2">
      <c r="A91" s="1"/>
      <c r="B91" s="150"/>
      <c r="C91" s="280" t="s">
        <v>281</v>
      </c>
      <c r="D91" s="235"/>
      <c r="E91" s="265">
        <v>4</v>
      </c>
      <c r="F91" s="237">
        <v>0.15</v>
      </c>
      <c r="G91" s="237">
        <v>0.15</v>
      </c>
      <c r="H91" s="237">
        <v>2.25</v>
      </c>
      <c r="I91" s="237">
        <f>+ROUND(PRODUCT(E91:H91),2)</f>
        <v>0.2</v>
      </c>
      <c r="J91" s="266"/>
    </row>
    <row r="92" spans="1:10" ht="15" customHeight="1" x14ac:dyDescent="0.25">
      <c r="A92" s="1"/>
      <c r="B92" s="150"/>
      <c r="C92" s="281" t="s">
        <v>282</v>
      </c>
      <c r="D92" s="235"/>
      <c r="E92" s="265">
        <v>4</v>
      </c>
      <c r="F92" s="237">
        <v>0.15</v>
      </c>
      <c r="G92" s="237">
        <v>0.15</v>
      </c>
      <c r="H92" s="237">
        <v>2.31</v>
      </c>
      <c r="I92" s="237">
        <f>+ROUND(PRODUCT(E92:H92),2)</f>
        <v>0.21</v>
      </c>
      <c r="J92" s="266"/>
    </row>
    <row r="93" spans="1:10" ht="15" customHeight="1" x14ac:dyDescent="0.25">
      <c r="A93" s="1"/>
      <c r="B93" s="150"/>
      <c r="C93" s="281"/>
      <c r="D93" s="235"/>
      <c r="E93" s="265"/>
      <c r="F93" s="237"/>
      <c r="G93" s="237"/>
      <c r="H93" s="237"/>
      <c r="I93" s="237"/>
      <c r="J93" s="266"/>
    </row>
    <row r="94" spans="1:10" ht="15" customHeight="1" x14ac:dyDescent="0.2">
      <c r="A94" s="1"/>
      <c r="B94" s="187" t="str">
        <f>$B$89 &amp; ".02"</f>
        <v>02.03.01.01.04.02</v>
      </c>
      <c r="C94" s="234" t="s">
        <v>135</v>
      </c>
      <c r="D94" s="235" t="s">
        <v>21</v>
      </c>
      <c r="E94" s="265"/>
      <c r="F94" s="237"/>
      <c r="G94" s="237"/>
      <c r="H94" s="237"/>
      <c r="I94" s="238">
        <f>SUM(I95:I97)</f>
        <v>0.37</v>
      </c>
      <c r="J94" s="266">
        <f>+$E$89*I94</f>
        <v>0.37</v>
      </c>
    </row>
    <row r="95" spans="1:10" ht="15" customHeight="1" x14ac:dyDescent="0.2">
      <c r="A95" s="1"/>
      <c r="B95" s="150"/>
      <c r="C95" s="240" t="s">
        <v>163</v>
      </c>
      <c r="D95" s="235"/>
      <c r="E95" s="265">
        <v>2</v>
      </c>
      <c r="F95" s="237">
        <v>5.0999999999999996</v>
      </c>
      <c r="G95" s="237">
        <v>0.15</v>
      </c>
      <c r="H95" s="237">
        <v>0.15</v>
      </c>
      <c r="I95" s="237">
        <f t="shared" ref="I95:I96" si="12">+ROUND(PRODUCT(E95:H95),2)</f>
        <v>0.23</v>
      </c>
      <c r="J95" s="238"/>
    </row>
    <row r="96" spans="1:10" ht="15" customHeight="1" x14ac:dyDescent="0.2">
      <c r="A96" s="1"/>
      <c r="B96" s="150"/>
      <c r="C96" s="240" t="s">
        <v>164</v>
      </c>
      <c r="D96" s="235"/>
      <c r="E96" s="265">
        <v>4</v>
      </c>
      <c r="F96" s="237">
        <v>1.34</v>
      </c>
      <c r="G96" s="237">
        <v>0.15</v>
      </c>
      <c r="H96" s="237">
        <v>0.17</v>
      </c>
      <c r="I96" s="237">
        <f t="shared" si="12"/>
        <v>0.14000000000000001</v>
      </c>
      <c r="J96" s="238"/>
    </row>
    <row r="97" spans="1:12" ht="15" customHeight="1" x14ac:dyDescent="0.2">
      <c r="A97" s="1"/>
      <c r="B97" s="150"/>
      <c r="C97" s="274"/>
      <c r="D97" s="235"/>
      <c r="E97" s="265"/>
      <c r="F97" s="237"/>
      <c r="G97" s="237"/>
      <c r="H97" s="237"/>
      <c r="I97" s="237"/>
      <c r="J97" s="238"/>
    </row>
    <row r="98" spans="1:12" ht="15.75" customHeight="1" x14ac:dyDescent="0.2">
      <c r="A98" s="1"/>
      <c r="B98" s="187" t="str">
        <f>$B$89 &amp; ".03"</f>
        <v>02.03.01.01.04.03</v>
      </c>
      <c r="C98" s="234" t="s">
        <v>122</v>
      </c>
      <c r="D98" s="235" t="s">
        <v>14</v>
      </c>
      <c r="E98" s="265"/>
      <c r="F98" s="237"/>
      <c r="G98" s="237"/>
      <c r="H98" s="237"/>
      <c r="I98" s="238">
        <f>+SUM(I99:I100)</f>
        <v>10.940000000000001</v>
      </c>
      <c r="J98" s="238">
        <f>+$E$89*I98</f>
        <v>10.940000000000001</v>
      </c>
    </row>
    <row r="99" spans="1:12" ht="15" customHeight="1" x14ac:dyDescent="0.2">
      <c r="A99" s="1"/>
      <c r="B99" s="150"/>
      <c r="C99" s="280" t="s">
        <v>281</v>
      </c>
      <c r="D99" s="282"/>
      <c r="E99" s="283">
        <v>4</v>
      </c>
      <c r="F99" s="282" t="s">
        <v>124</v>
      </c>
      <c r="G99" s="284">
        <v>0.6</v>
      </c>
      <c r="H99" s="282">
        <v>2.25</v>
      </c>
      <c r="I99" s="237">
        <f t="shared" ref="I99:I100" si="13">+ROUND(PRODUCT(E99:H99),2)</f>
        <v>5.4</v>
      </c>
      <c r="J99" s="285"/>
    </row>
    <row r="100" spans="1:12" ht="15" customHeight="1" x14ac:dyDescent="0.25">
      <c r="A100" s="1"/>
      <c r="B100" s="150"/>
      <c r="C100" s="281" t="s">
        <v>282</v>
      </c>
      <c r="D100" s="282"/>
      <c r="E100" s="265">
        <v>4</v>
      </c>
      <c r="F100" s="285" t="s">
        <v>124</v>
      </c>
      <c r="G100" s="237">
        <v>0.6</v>
      </c>
      <c r="H100" s="237">
        <v>2.31</v>
      </c>
      <c r="I100" s="237">
        <f t="shared" si="13"/>
        <v>5.54</v>
      </c>
      <c r="J100" s="285"/>
    </row>
    <row r="101" spans="1:12" ht="15" customHeight="1" x14ac:dyDescent="0.2">
      <c r="A101" s="1"/>
      <c r="B101" s="150"/>
      <c r="C101" s="275"/>
      <c r="D101" s="282"/>
      <c r="E101" s="265"/>
      <c r="F101" s="285"/>
      <c r="G101" s="237"/>
      <c r="H101" s="237"/>
      <c r="I101" s="237"/>
      <c r="J101" s="285"/>
    </row>
    <row r="102" spans="1:12" ht="15" customHeight="1" x14ac:dyDescent="0.2">
      <c r="A102" s="1"/>
      <c r="B102" s="187" t="str">
        <f>$B$89 &amp; ".04"</f>
        <v>02.03.01.01.04.04</v>
      </c>
      <c r="C102" s="234" t="s">
        <v>123</v>
      </c>
      <c r="D102" s="235" t="s">
        <v>14</v>
      </c>
      <c r="E102" s="265"/>
      <c r="F102" s="237"/>
      <c r="G102" s="237"/>
      <c r="H102" s="237"/>
      <c r="I102" s="238">
        <f>+SUM(I103:I105)</f>
        <v>7.21</v>
      </c>
      <c r="J102" s="238">
        <f>+$E$89*I102</f>
        <v>7.21</v>
      </c>
    </row>
    <row r="103" spans="1:12" ht="15" customHeight="1" x14ac:dyDescent="0.2">
      <c r="A103" s="1"/>
      <c r="B103" s="150"/>
      <c r="C103" s="240" t="s">
        <v>163</v>
      </c>
      <c r="D103" s="282"/>
      <c r="E103" s="265">
        <v>6</v>
      </c>
      <c r="F103" s="237">
        <v>5.0999999999999996</v>
      </c>
      <c r="G103" s="237"/>
      <c r="H103" s="237">
        <v>0.15</v>
      </c>
      <c r="I103" s="237">
        <f t="shared" ref="I103:I105" si="14">+ROUND(PRODUCT(E103:H103),2)</f>
        <v>4.59</v>
      </c>
      <c r="J103" s="285"/>
    </row>
    <row r="104" spans="1:12" ht="15" customHeight="1" x14ac:dyDescent="0.2">
      <c r="A104" s="1"/>
      <c r="B104" s="150"/>
      <c r="C104" s="286" t="s">
        <v>164</v>
      </c>
      <c r="D104" s="282"/>
      <c r="E104" s="265">
        <v>8</v>
      </c>
      <c r="F104" s="237">
        <v>1.34</v>
      </c>
      <c r="G104" s="237"/>
      <c r="H104" s="237">
        <v>0.17</v>
      </c>
      <c r="I104" s="237">
        <f t="shared" si="14"/>
        <v>1.82</v>
      </c>
      <c r="J104" s="285"/>
    </row>
    <row r="105" spans="1:12" ht="15" customHeight="1" x14ac:dyDescent="0.2">
      <c r="A105" s="1"/>
      <c r="B105" s="150"/>
      <c r="C105" s="268"/>
      <c r="D105" s="282"/>
      <c r="E105" s="265">
        <v>4</v>
      </c>
      <c r="F105" s="237">
        <v>1.34</v>
      </c>
      <c r="G105" s="237"/>
      <c r="H105" s="237">
        <v>0.15</v>
      </c>
      <c r="I105" s="237">
        <f t="shared" si="14"/>
        <v>0.8</v>
      </c>
      <c r="J105" s="285"/>
    </row>
    <row r="106" spans="1:12" ht="15" customHeight="1" x14ac:dyDescent="0.2">
      <c r="A106" s="1"/>
      <c r="B106" s="150"/>
      <c r="C106" s="287"/>
      <c r="D106" s="235"/>
      <c r="E106" s="265"/>
      <c r="F106" s="237"/>
      <c r="G106" s="237"/>
      <c r="H106" s="237"/>
      <c r="I106" s="237"/>
      <c r="J106" s="238"/>
    </row>
    <row r="107" spans="1:12" ht="15" customHeight="1" x14ac:dyDescent="0.2">
      <c r="A107" s="1"/>
      <c r="B107" s="187" t="str">
        <f>$B$89 &amp; ".05"</f>
        <v>02.03.01.01.04.05</v>
      </c>
      <c r="C107" s="234" t="s">
        <v>33</v>
      </c>
      <c r="D107" s="235" t="s">
        <v>34</v>
      </c>
      <c r="E107" s="236"/>
      <c r="F107" s="237"/>
      <c r="G107" s="242" t="s">
        <v>215</v>
      </c>
      <c r="H107" s="237"/>
      <c r="I107" s="238">
        <f>SUM(I108:I111)*1.05</f>
        <v>159.51738600000002</v>
      </c>
      <c r="J107" s="238">
        <f>+$E$89*I107</f>
        <v>159.51738600000002</v>
      </c>
    </row>
    <row r="108" spans="1:12" ht="15" customHeight="1" x14ac:dyDescent="0.2">
      <c r="A108" s="1"/>
      <c r="B108" s="150"/>
      <c r="C108" s="240" t="s">
        <v>328</v>
      </c>
      <c r="D108" s="235"/>
      <c r="E108" s="236">
        <v>1</v>
      </c>
      <c r="F108" s="237">
        <f>'Metrado Acero'!O8+'Metrado Acero'!O13+'Metrado Acero'!O28</f>
        <v>131.91</v>
      </c>
      <c r="G108" s="242">
        <v>0.56000000000000005</v>
      </c>
      <c r="H108" s="237"/>
      <c r="I108" s="239">
        <f>PRODUCT(E108:H108)</f>
        <v>73.869600000000005</v>
      </c>
      <c r="J108" s="238"/>
    </row>
    <row r="109" spans="1:12" ht="15" customHeight="1" x14ac:dyDescent="0.2">
      <c r="A109" s="1"/>
      <c r="B109" s="160"/>
      <c r="C109" s="240" t="s">
        <v>329</v>
      </c>
      <c r="D109" s="235"/>
      <c r="E109" s="236">
        <v>1</v>
      </c>
      <c r="F109" s="237">
        <f>'Metrado Acero'!N18+'Metrado Acero'!N23</f>
        <v>110.19999999999999</v>
      </c>
      <c r="G109" s="242">
        <v>0.222</v>
      </c>
      <c r="H109" s="237"/>
      <c r="I109" s="239">
        <f t="shared" ref="I109:I111" si="15">PRODUCT(E109:H109)</f>
        <v>24.464399999999998</v>
      </c>
      <c r="J109" s="238"/>
    </row>
    <row r="110" spans="1:12" ht="15" customHeight="1" x14ac:dyDescent="0.2">
      <c r="A110" s="1"/>
      <c r="B110" s="160"/>
      <c r="C110" s="240" t="s">
        <v>330</v>
      </c>
      <c r="D110" s="235"/>
      <c r="E110" s="236">
        <v>1</v>
      </c>
      <c r="F110" s="237">
        <f>'Metrado Acero'!O33+'Metrado Acero'!O38</f>
        <v>67.679999999999993</v>
      </c>
      <c r="G110" s="242">
        <v>0.56000000000000005</v>
      </c>
      <c r="H110" s="237"/>
      <c r="I110" s="239">
        <f t="shared" si="15"/>
        <v>37.900799999999997</v>
      </c>
      <c r="J110" s="241"/>
      <c r="L110" s="261"/>
    </row>
    <row r="111" spans="1:12" ht="15" customHeight="1" x14ac:dyDescent="0.2">
      <c r="A111" s="1"/>
      <c r="B111" s="160"/>
      <c r="C111" s="240" t="s">
        <v>331</v>
      </c>
      <c r="D111" s="235"/>
      <c r="E111" s="236">
        <v>1</v>
      </c>
      <c r="F111" s="237">
        <f>'Metrado Acero'!N43+'Metrado Acero'!N48</f>
        <v>70.66</v>
      </c>
      <c r="G111" s="242">
        <v>0.222</v>
      </c>
      <c r="H111" s="237"/>
      <c r="I111" s="239">
        <f t="shared" si="15"/>
        <v>15.68652</v>
      </c>
      <c r="J111" s="266"/>
    </row>
    <row r="112" spans="1:12" ht="15" customHeight="1" x14ac:dyDescent="0.25">
      <c r="A112" s="1"/>
      <c r="B112" s="243" t="str">
        <f>$B$26 &amp; ".02"</f>
        <v>02.03.01.02</v>
      </c>
      <c r="C112" s="254" t="s">
        <v>159</v>
      </c>
      <c r="D112" s="235"/>
      <c r="E112" s="236"/>
      <c r="F112" s="237"/>
      <c r="G112" s="237"/>
      <c r="H112" s="237"/>
      <c r="I112" s="239"/>
      <c r="J112" s="266"/>
    </row>
    <row r="113" spans="1:10" ht="15" customHeight="1" x14ac:dyDescent="0.2">
      <c r="A113" s="1"/>
      <c r="B113" s="245" t="str">
        <f>$B$112 &amp; ".01"</f>
        <v>02.03.01.02.01</v>
      </c>
      <c r="C113" s="255" t="s">
        <v>36</v>
      </c>
      <c r="D113" s="270"/>
      <c r="E113" s="271">
        <f>E89</f>
        <v>1</v>
      </c>
      <c r="F113" s="237"/>
      <c r="G113" s="272"/>
      <c r="H113" s="237"/>
      <c r="I113" s="237"/>
      <c r="J113" s="266"/>
    </row>
    <row r="114" spans="1:10" ht="30.75" customHeight="1" x14ac:dyDescent="0.2">
      <c r="A114" s="1"/>
      <c r="B114" s="187" t="str">
        <f>$B$113 &amp; ".01"</f>
        <v>02.03.01.02.01.01</v>
      </c>
      <c r="C114" s="234" t="s">
        <v>384</v>
      </c>
      <c r="D114" s="235" t="s">
        <v>14</v>
      </c>
      <c r="E114" s="265"/>
      <c r="F114" s="237"/>
      <c r="G114" s="237"/>
      <c r="H114" s="237"/>
      <c r="I114" s="238">
        <f>+SUM(I115:I118)</f>
        <v>24.61</v>
      </c>
      <c r="J114" s="266">
        <f>+$E$113*I114</f>
        <v>24.61</v>
      </c>
    </row>
    <row r="115" spans="1:10" ht="14.25" customHeight="1" x14ac:dyDescent="0.2">
      <c r="A115" s="1"/>
      <c r="B115" s="160"/>
      <c r="C115" s="240" t="s">
        <v>284</v>
      </c>
      <c r="D115" s="235"/>
      <c r="E115" s="265">
        <v>4</v>
      </c>
      <c r="F115" s="242" t="s">
        <v>121</v>
      </c>
      <c r="G115" s="237">
        <v>2.7890000000000001</v>
      </c>
      <c r="H115" s="237"/>
      <c r="I115" s="237">
        <f t="shared" ref="I115:I118" si="16">+ROUND(PRODUCT(E115:H115),2)</f>
        <v>11.16</v>
      </c>
      <c r="J115" s="266"/>
    </row>
    <row r="116" spans="1:10" ht="14.25" customHeight="1" x14ac:dyDescent="0.2">
      <c r="A116" s="1"/>
      <c r="B116" s="160"/>
      <c r="C116" s="240" t="s">
        <v>283</v>
      </c>
      <c r="D116" s="235"/>
      <c r="E116" s="265">
        <v>1</v>
      </c>
      <c r="F116" s="237">
        <v>2.1</v>
      </c>
      <c r="G116" s="237"/>
      <c r="H116" s="237">
        <v>1.95</v>
      </c>
      <c r="I116" s="237">
        <f t="shared" si="16"/>
        <v>4.0999999999999996</v>
      </c>
      <c r="J116" s="266"/>
    </row>
    <row r="117" spans="1:10" ht="15" customHeight="1" x14ac:dyDescent="0.2">
      <c r="A117" s="1"/>
      <c r="B117" s="160"/>
      <c r="C117" s="240" t="s">
        <v>285</v>
      </c>
      <c r="D117" s="235"/>
      <c r="E117" s="265">
        <v>1</v>
      </c>
      <c r="F117" s="237">
        <v>4.5</v>
      </c>
      <c r="G117" s="237"/>
      <c r="H117" s="237">
        <v>2.31</v>
      </c>
      <c r="I117" s="237">
        <f t="shared" si="16"/>
        <v>10.4</v>
      </c>
      <c r="J117" s="266"/>
    </row>
    <row r="118" spans="1:10" ht="15" customHeight="1" x14ac:dyDescent="0.2">
      <c r="A118" s="1"/>
      <c r="B118" s="160"/>
      <c r="C118" s="240" t="s">
        <v>286</v>
      </c>
      <c r="D118" s="235"/>
      <c r="E118" s="265">
        <v>-3</v>
      </c>
      <c r="F118" s="242">
        <v>0.7</v>
      </c>
      <c r="G118" s="237"/>
      <c r="H118" s="237">
        <v>0.5</v>
      </c>
      <c r="I118" s="237">
        <f t="shared" si="16"/>
        <v>-1.05</v>
      </c>
      <c r="J118" s="266"/>
    </row>
    <row r="119" spans="1:10" ht="15" customHeight="1" x14ac:dyDescent="0.2">
      <c r="A119" s="1"/>
      <c r="B119" s="150"/>
      <c r="C119" s="287"/>
      <c r="D119" s="235"/>
      <c r="E119" s="265"/>
      <c r="F119" s="237"/>
      <c r="G119" s="237"/>
      <c r="H119" s="237"/>
      <c r="I119" s="237"/>
      <c r="J119" s="266"/>
    </row>
    <row r="120" spans="1:10" ht="15" customHeight="1" x14ac:dyDescent="0.2">
      <c r="A120" s="1"/>
      <c r="B120" s="245" t="str">
        <f>$B$112 &amp; ".02"</f>
        <v>02.03.01.02.02</v>
      </c>
      <c r="C120" s="255" t="s">
        <v>37</v>
      </c>
      <c r="D120" s="270"/>
      <c r="E120" s="271">
        <f>E113</f>
        <v>1</v>
      </c>
      <c r="F120" s="237"/>
      <c r="G120" s="272"/>
      <c r="H120" s="237"/>
      <c r="I120" s="237"/>
      <c r="J120" s="277"/>
    </row>
    <row r="121" spans="1:10" ht="25.5" customHeight="1" x14ac:dyDescent="0.2">
      <c r="A121" s="1"/>
      <c r="B121" s="191" t="str">
        <f>$B$120 &amp; ".01"</f>
        <v>02.03.01.02.02.01</v>
      </c>
      <c r="C121" s="288" t="s">
        <v>168</v>
      </c>
      <c r="D121" s="235" t="s">
        <v>14</v>
      </c>
      <c r="E121" s="265"/>
      <c r="F121" s="237"/>
      <c r="G121" s="237"/>
      <c r="H121" s="237"/>
      <c r="I121" s="238">
        <f>SUM(I122:I123)</f>
        <v>18.36</v>
      </c>
      <c r="J121" s="266">
        <f>$E$120*I121</f>
        <v>18.36</v>
      </c>
    </row>
    <row r="122" spans="1:10" ht="15" customHeight="1" x14ac:dyDescent="0.2">
      <c r="A122" s="1"/>
      <c r="B122" s="160"/>
      <c r="C122" s="289" t="s">
        <v>287</v>
      </c>
      <c r="D122" s="235"/>
      <c r="E122" s="265">
        <v>3</v>
      </c>
      <c r="F122" s="242" t="s">
        <v>169</v>
      </c>
      <c r="G122" s="237">
        <v>5.0999999999999996</v>
      </c>
      <c r="H122" s="237">
        <v>1.2</v>
      </c>
      <c r="I122" s="237">
        <f t="shared" ref="I122:I142" si="17">+ROUND(PRODUCT(E122:H122),2)</f>
        <v>18.36</v>
      </c>
      <c r="J122" s="266"/>
    </row>
    <row r="123" spans="1:10" ht="15" customHeight="1" x14ac:dyDescent="0.2">
      <c r="A123" s="1"/>
      <c r="B123" s="160"/>
      <c r="C123" s="289"/>
      <c r="D123" s="235"/>
      <c r="E123" s="265"/>
      <c r="F123" s="237"/>
      <c r="G123" s="237"/>
      <c r="H123" s="237"/>
      <c r="I123" s="237"/>
      <c r="J123" s="266"/>
    </row>
    <row r="124" spans="1:10" ht="20.25" customHeight="1" x14ac:dyDescent="0.2">
      <c r="A124" s="1"/>
      <c r="B124" s="191" t="str">
        <f>$B$120 &amp; ".02"</f>
        <v>02.03.01.02.02.02</v>
      </c>
      <c r="C124" s="234" t="s">
        <v>170</v>
      </c>
      <c r="D124" s="235" t="s">
        <v>14</v>
      </c>
      <c r="E124" s="265"/>
      <c r="F124" s="237"/>
      <c r="G124" s="237"/>
      <c r="H124" s="237"/>
      <c r="I124" s="238">
        <f>SUM(I125:I130)</f>
        <v>17.689999999999998</v>
      </c>
      <c r="J124" s="266">
        <f>$E$120*I124</f>
        <v>17.689999999999998</v>
      </c>
    </row>
    <row r="125" spans="1:10" ht="15" customHeight="1" x14ac:dyDescent="0.2">
      <c r="A125" s="1"/>
      <c r="B125" s="160"/>
      <c r="C125" s="289" t="s">
        <v>288</v>
      </c>
      <c r="D125" s="256"/>
      <c r="E125" s="276">
        <v>6</v>
      </c>
      <c r="F125" s="242" t="s">
        <v>121</v>
      </c>
      <c r="G125" s="242">
        <v>1.6353</v>
      </c>
      <c r="H125" s="242"/>
      <c r="I125" s="242">
        <f t="shared" ref="I125:I130" si="18">+ROUND(PRODUCT(E125:H125),2)</f>
        <v>9.81</v>
      </c>
      <c r="J125" s="266"/>
    </row>
    <row r="126" spans="1:10" ht="15" customHeight="1" x14ac:dyDescent="0.2">
      <c r="A126" s="1"/>
      <c r="B126" s="160"/>
      <c r="C126" s="289" t="s">
        <v>289</v>
      </c>
      <c r="D126" s="256"/>
      <c r="E126" s="276">
        <v>3</v>
      </c>
      <c r="F126" s="242">
        <v>0.7</v>
      </c>
      <c r="G126" s="242"/>
      <c r="H126" s="242">
        <v>0.95</v>
      </c>
      <c r="I126" s="242">
        <f t="shared" si="18"/>
        <v>2</v>
      </c>
      <c r="J126" s="266"/>
    </row>
    <row r="127" spans="1:10" ht="15" customHeight="1" x14ac:dyDescent="0.2">
      <c r="A127" s="1"/>
      <c r="B127" s="160"/>
      <c r="C127" s="289" t="s">
        <v>319</v>
      </c>
      <c r="D127" s="256"/>
      <c r="E127" s="276">
        <v>3</v>
      </c>
      <c r="F127" s="242">
        <v>1.3</v>
      </c>
      <c r="G127" s="242"/>
      <c r="H127" s="242">
        <v>1.5</v>
      </c>
      <c r="I127" s="242">
        <f t="shared" si="18"/>
        <v>5.85</v>
      </c>
      <c r="J127" s="266"/>
    </row>
    <row r="128" spans="1:10" ht="15" customHeight="1" x14ac:dyDescent="0.2">
      <c r="A128" s="1"/>
      <c r="B128" s="160"/>
      <c r="C128" s="289" t="s">
        <v>286</v>
      </c>
      <c r="D128" s="256"/>
      <c r="E128" s="276">
        <v>-3</v>
      </c>
      <c r="F128" s="242">
        <v>0.7</v>
      </c>
      <c r="G128" s="242"/>
      <c r="H128" s="242">
        <v>0.5</v>
      </c>
      <c r="I128" s="242">
        <f t="shared" si="18"/>
        <v>-1.05</v>
      </c>
      <c r="J128" s="266"/>
    </row>
    <row r="129" spans="1:10" ht="15" customHeight="1" x14ac:dyDescent="0.2">
      <c r="A129" s="1"/>
      <c r="B129" s="160"/>
      <c r="C129" s="289" t="s">
        <v>290</v>
      </c>
      <c r="D129" s="256"/>
      <c r="E129" s="276">
        <v>6</v>
      </c>
      <c r="F129" s="242">
        <v>0.7</v>
      </c>
      <c r="G129" s="242">
        <v>0.15</v>
      </c>
      <c r="H129" s="242"/>
      <c r="I129" s="242">
        <f t="shared" si="18"/>
        <v>0.63</v>
      </c>
      <c r="J129" s="266"/>
    </row>
    <row r="130" spans="1:10" ht="15" customHeight="1" x14ac:dyDescent="0.2">
      <c r="A130" s="1"/>
      <c r="B130" s="160"/>
      <c r="C130" s="289"/>
      <c r="D130" s="256"/>
      <c r="E130" s="290">
        <v>6</v>
      </c>
      <c r="F130" s="242">
        <v>0.5</v>
      </c>
      <c r="G130" s="242">
        <v>0.15</v>
      </c>
      <c r="H130" s="242"/>
      <c r="I130" s="242">
        <f t="shared" si="18"/>
        <v>0.45</v>
      </c>
      <c r="J130" s="266"/>
    </row>
    <row r="131" spans="1:10" ht="15" customHeight="1" x14ac:dyDescent="0.2">
      <c r="A131" s="1"/>
      <c r="B131" s="160"/>
      <c r="C131" s="268"/>
      <c r="D131" s="235"/>
      <c r="E131" s="265"/>
      <c r="F131" s="237"/>
      <c r="G131" s="237"/>
      <c r="H131" s="237"/>
      <c r="I131" s="237"/>
      <c r="J131" s="266"/>
    </row>
    <row r="132" spans="1:10" ht="15" customHeight="1" x14ac:dyDescent="0.2">
      <c r="A132" s="1"/>
      <c r="B132" s="191" t="str">
        <f>$B$120 &amp; ".03"</f>
        <v>02.03.01.02.02.03</v>
      </c>
      <c r="C132" s="414" t="s">
        <v>385</v>
      </c>
      <c r="D132" s="202" t="s">
        <v>14</v>
      </c>
      <c r="E132" s="411"/>
      <c r="F132" s="200"/>
      <c r="G132" s="200"/>
      <c r="H132" s="200"/>
      <c r="I132" s="259">
        <f>SUM(I133:I136)</f>
        <v>19.029999999999998</v>
      </c>
      <c r="J132" s="412">
        <f>$E$120*I132</f>
        <v>19.029999999999998</v>
      </c>
    </row>
    <row r="133" spans="1:10" ht="15" customHeight="1" x14ac:dyDescent="0.2">
      <c r="A133" s="1"/>
      <c r="B133" s="413"/>
      <c r="C133" s="199" t="s">
        <v>284</v>
      </c>
      <c r="D133" s="202"/>
      <c r="E133" s="411">
        <v>2</v>
      </c>
      <c r="F133" s="200" t="s">
        <v>121</v>
      </c>
      <c r="G133" s="200">
        <v>2.7890000000000001</v>
      </c>
      <c r="H133" s="200"/>
      <c r="I133" s="200">
        <f t="shared" ref="I133:I136" si="19">+ROUND(PRODUCT(E133:H133),2)</f>
        <v>5.58</v>
      </c>
      <c r="J133" s="412"/>
    </row>
    <row r="134" spans="1:10" ht="15" customHeight="1" x14ac:dyDescent="0.2">
      <c r="A134" s="1"/>
      <c r="B134" s="413"/>
      <c r="C134" s="199" t="s">
        <v>283</v>
      </c>
      <c r="D134" s="202"/>
      <c r="E134" s="411">
        <v>1</v>
      </c>
      <c r="F134" s="200">
        <v>2.1</v>
      </c>
      <c r="G134" s="200"/>
      <c r="H134" s="200">
        <v>1.95</v>
      </c>
      <c r="I134" s="200">
        <f t="shared" si="19"/>
        <v>4.0999999999999996</v>
      </c>
      <c r="J134" s="412"/>
    </row>
    <row r="135" spans="1:10" ht="15" customHeight="1" x14ac:dyDescent="0.2">
      <c r="A135" s="1"/>
      <c r="B135" s="413"/>
      <c r="C135" s="199" t="s">
        <v>285</v>
      </c>
      <c r="D135" s="202"/>
      <c r="E135" s="411">
        <v>1</v>
      </c>
      <c r="F135" s="200">
        <v>4.5</v>
      </c>
      <c r="G135" s="200"/>
      <c r="H135" s="200">
        <v>2.31</v>
      </c>
      <c r="I135" s="200">
        <f t="shared" si="19"/>
        <v>10.4</v>
      </c>
      <c r="J135" s="412"/>
    </row>
    <row r="136" spans="1:10" ht="15" customHeight="1" x14ac:dyDescent="0.2">
      <c r="A136" s="1"/>
      <c r="B136" s="413"/>
      <c r="C136" s="199" t="s">
        <v>286</v>
      </c>
      <c r="D136" s="202"/>
      <c r="E136" s="411">
        <v>-3</v>
      </c>
      <c r="F136" s="200">
        <v>0.7</v>
      </c>
      <c r="G136" s="200"/>
      <c r="H136" s="200">
        <v>0.5</v>
      </c>
      <c r="I136" s="200">
        <f t="shared" si="19"/>
        <v>-1.05</v>
      </c>
      <c r="J136" s="412"/>
    </row>
    <row r="137" spans="1:10" ht="15" customHeight="1" x14ac:dyDescent="0.2">
      <c r="A137" s="1"/>
      <c r="B137" s="160"/>
      <c r="C137" s="268"/>
      <c r="D137" s="235"/>
      <c r="E137" s="265"/>
      <c r="F137" s="237"/>
      <c r="G137" s="237"/>
      <c r="H137" s="237"/>
      <c r="I137" s="237"/>
      <c r="J137" s="266"/>
    </row>
    <row r="138" spans="1:10" ht="22.15" customHeight="1" x14ac:dyDescent="0.2">
      <c r="A138" s="1"/>
      <c r="B138" s="191" t="str">
        <f>$B$120 &amp; ".04"</f>
        <v>02.03.01.02.02.04</v>
      </c>
      <c r="C138" s="291" t="s">
        <v>291</v>
      </c>
      <c r="D138" s="235" t="s">
        <v>14</v>
      </c>
      <c r="E138" s="265"/>
      <c r="F138" s="237"/>
      <c r="G138" s="237"/>
      <c r="H138" s="237"/>
      <c r="I138" s="238">
        <f>SUM(I139:I142)</f>
        <v>13.22</v>
      </c>
      <c r="J138" s="266">
        <f>$E$120*I138</f>
        <v>13.22</v>
      </c>
    </row>
    <row r="139" spans="1:10" ht="15" customHeight="1" x14ac:dyDescent="0.2">
      <c r="A139" s="1"/>
      <c r="B139" s="160"/>
      <c r="C139" s="240" t="s">
        <v>281</v>
      </c>
      <c r="D139" s="235"/>
      <c r="E139" s="265">
        <v>9</v>
      </c>
      <c r="F139" s="237">
        <v>0.15</v>
      </c>
      <c r="G139" s="237"/>
      <c r="H139" s="237">
        <v>2.15</v>
      </c>
      <c r="I139" s="237">
        <f t="shared" si="17"/>
        <v>2.9</v>
      </c>
      <c r="J139" s="266"/>
    </row>
    <row r="140" spans="1:10" ht="15" customHeight="1" x14ac:dyDescent="0.2">
      <c r="A140" s="1"/>
      <c r="B140" s="160"/>
      <c r="C140" s="240" t="s">
        <v>282</v>
      </c>
      <c r="D140" s="235"/>
      <c r="E140" s="265">
        <v>6</v>
      </c>
      <c r="F140" s="237">
        <v>0.15</v>
      </c>
      <c r="G140" s="237"/>
      <c r="H140" s="237">
        <v>2.5</v>
      </c>
      <c r="I140" s="237">
        <f t="shared" si="17"/>
        <v>2.25</v>
      </c>
      <c r="J140" s="266"/>
    </row>
    <row r="141" spans="1:10" ht="15" customHeight="1" x14ac:dyDescent="0.2">
      <c r="A141" s="1"/>
      <c r="B141" s="160"/>
      <c r="C141" s="240" t="s">
        <v>292</v>
      </c>
      <c r="D141" s="235"/>
      <c r="E141" s="265">
        <v>2</v>
      </c>
      <c r="F141" s="242" t="s">
        <v>169</v>
      </c>
      <c r="G141" s="237">
        <v>0.5</v>
      </c>
      <c r="H141" s="237">
        <v>5.0999999999999996</v>
      </c>
      <c r="I141" s="237">
        <f t="shared" si="17"/>
        <v>5.0999999999999996</v>
      </c>
      <c r="J141" s="266"/>
    </row>
    <row r="142" spans="1:10" ht="15" customHeight="1" x14ac:dyDescent="0.2">
      <c r="A142" s="1"/>
      <c r="B142" s="160"/>
      <c r="C142" s="240" t="s">
        <v>293</v>
      </c>
      <c r="D142" s="235"/>
      <c r="E142" s="265">
        <v>4</v>
      </c>
      <c r="F142" s="242" t="s">
        <v>169</v>
      </c>
      <c r="G142" s="237">
        <v>0.45</v>
      </c>
      <c r="H142" s="237">
        <v>1.65</v>
      </c>
      <c r="I142" s="237">
        <f t="shared" si="17"/>
        <v>2.97</v>
      </c>
      <c r="J142" s="266"/>
    </row>
    <row r="143" spans="1:10" ht="15" customHeight="1" x14ac:dyDescent="0.2">
      <c r="A143" s="1"/>
      <c r="B143" s="160"/>
      <c r="C143" s="268"/>
      <c r="D143" s="235"/>
      <c r="E143" s="265"/>
      <c r="F143" s="237"/>
      <c r="G143" s="237"/>
      <c r="H143" s="237"/>
      <c r="I143" s="237"/>
      <c r="J143" s="266"/>
    </row>
    <row r="144" spans="1:10" ht="16.5" customHeight="1" x14ac:dyDescent="0.2">
      <c r="A144" s="1"/>
      <c r="B144" s="191" t="str">
        <f>$B$120 &amp; ".05"</f>
        <v>02.03.01.02.02.05</v>
      </c>
      <c r="C144" s="291" t="s">
        <v>136</v>
      </c>
      <c r="D144" s="256" t="s">
        <v>29</v>
      </c>
      <c r="E144" s="265"/>
      <c r="F144" s="237"/>
      <c r="G144" s="237"/>
      <c r="H144" s="237"/>
      <c r="I144" s="238">
        <f>SUM(I145:I146)</f>
        <v>57.33</v>
      </c>
      <c r="J144" s="266">
        <f>$E$120*I144</f>
        <v>57.33</v>
      </c>
    </row>
    <row r="145" spans="1:10" ht="15" customHeight="1" x14ac:dyDescent="0.2">
      <c r="A145" s="1"/>
      <c r="B145" s="150"/>
      <c r="C145" s="240" t="s">
        <v>294</v>
      </c>
      <c r="D145" s="235"/>
      <c r="E145" s="265">
        <v>3</v>
      </c>
      <c r="F145" s="237">
        <v>4.8</v>
      </c>
      <c r="G145" s="237"/>
      <c r="H145" s="237"/>
      <c r="I145" s="237">
        <f t="shared" ref="I145:I146" si="20">+ROUND(PRODUCT(E145:H145),2)</f>
        <v>14.4</v>
      </c>
      <c r="J145" s="266"/>
    </row>
    <row r="146" spans="1:10" ht="15" customHeight="1" x14ac:dyDescent="0.2">
      <c r="A146" s="1"/>
      <c r="B146" s="150"/>
      <c r="C146" s="201" t="s">
        <v>249</v>
      </c>
      <c r="D146" s="202"/>
      <c r="E146" s="411">
        <v>1</v>
      </c>
      <c r="F146" s="204">
        <v>42.93</v>
      </c>
      <c r="G146" s="200"/>
      <c r="H146" s="200"/>
      <c r="I146" s="200">
        <f t="shared" si="20"/>
        <v>42.93</v>
      </c>
      <c r="J146" s="266"/>
    </row>
    <row r="147" spans="1:10" ht="15" customHeight="1" x14ac:dyDescent="0.2">
      <c r="A147" s="1"/>
      <c r="B147" s="150"/>
      <c r="C147" s="287"/>
      <c r="D147" s="235"/>
      <c r="E147" s="265"/>
      <c r="F147" s="270"/>
      <c r="G147" s="237"/>
      <c r="H147" s="237"/>
      <c r="I147" s="237"/>
      <c r="J147" s="266"/>
    </row>
    <row r="148" spans="1:10" s="118" customFormat="1" ht="25.15" customHeight="1" x14ac:dyDescent="0.2">
      <c r="A148" s="117"/>
      <c r="B148" s="245" t="str">
        <f>$B$112 &amp; ".03"</f>
        <v>02.03.01.02.03</v>
      </c>
      <c r="C148" s="255" t="s">
        <v>125</v>
      </c>
      <c r="D148" s="235"/>
      <c r="E148" s="271">
        <f>E120</f>
        <v>1</v>
      </c>
      <c r="F148" s="292"/>
      <c r="G148" s="237"/>
      <c r="H148" s="237"/>
      <c r="I148" s="237"/>
      <c r="J148" s="238"/>
    </row>
    <row r="149" spans="1:10" ht="15" customHeight="1" x14ac:dyDescent="0.2">
      <c r="A149" s="1"/>
      <c r="B149" s="191" t="str">
        <f>B148 &amp; ".01"</f>
        <v>02.03.01.02.03.01</v>
      </c>
      <c r="C149" s="293" t="s">
        <v>171</v>
      </c>
      <c r="D149" s="256" t="s">
        <v>14</v>
      </c>
      <c r="E149" s="265"/>
      <c r="F149" s="292"/>
      <c r="G149" s="237"/>
      <c r="H149" s="237"/>
      <c r="I149" s="238">
        <f>SUM(I150:I152)</f>
        <v>1.8399999999999999</v>
      </c>
      <c r="J149" s="266">
        <f>$E$148*I149</f>
        <v>1.8399999999999999</v>
      </c>
    </row>
    <row r="150" spans="1:10" ht="15" customHeight="1" x14ac:dyDescent="0.2">
      <c r="A150" s="1"/>
      <c r="B150" s="150"/>
      <c r="C150" s="240" t="s">
        <v>172</v>
      </c>
      <c r="D150" s="235"/>
      <c r="E150" s="236">
        <v>2</v>
      </c>
      <c r="F150" s="239">
        <v>1.3</v>
      </c>
      <c r="G150" s="239"/>
      <c r="H150" s="239">
        <v>0.2</v>
      </c>
      <c r="I150" s="237">
        <f t="shared" ref="I150:I152" si="21">+ROUND(PRODUCT(E150:H150),2)</f>
        <v>0.52</v>
      </c>
      <c r="J150" s="238"/>
    </row>
    <row r="151" spans="1:10" ht="15" customHeight="1" x14ac:dyDescent="0.2">
      <c r="A151" s="1"/>
      <c r="B151" s="150"/>
      <c r="C151" s="240" t="s">
        <v>173</v>
      </c>
      <c r="D151" s="235"/>
      <c r="E151" s="265">
        <v>1</v>
      </c>
      <c r="F151" s="237">
        <v>2.1</v>
      </c>
      <c r="G151" s="237"/>
      <c r="H151" s="237">
        <v>0.2</v>
      </c>
      <c r="I151" s="237">
        <f t="shared" si="21"/>
        <v>0.42</v>
      </c>
      <c r="J151" s="238"/>
    </row>
    <row r="152" spans="1:10" ht="15" customHeight="1" x14ac:dyDescent="0.2">
      <c r="A152" s="1"/>
      <c r="B152" s="150"/>
      <c r="C152" s="240" t="s">
        <v>174</v>
      </c>
      <c r="D152" s="235"/>
      <c r="E152" s="265">
        <v>1</v>
      </c>
      <c r="F152" s="237">
        <v>4.5</v>
      </c>
      <c r="G152" s="237"/>
      <c r="H152" s="237">
        <v>0.2</v>
      </c>
      <c r="I152" s="237">
        <f t="shared" si="21"/>
        <v>0.9</v>
      </c>
      <c r="J152" s="238"/>
    </row>
    <row r="153" spans="1:10" ht="14.25" customHeight="1" x14ac:dyDescent="0.2">
      <c r="A153" s="1"/>
      <c r="B153" s="149"/>
      <c r="C153" s="275"/>
      <c r="D153" s="235"/>
      <c r="E153" s="265"/>
      <c r="F153" s="237"/>
      <c r="G153" s="237"/>
      <c r="H153" s="237"/>
      <c r="I153" s="239"/>
      <c r="J153" s="238"/>
    </row>
    <row r="154" spans="1:10" ht="15" customHeight="1" x14ac:dyDescent="0.2">
      <c r="A154" s="1"/>
      <c r="B154" s="245" t="str">
        <f>$B$112 &amp; ".04"</f>
        <v>02.03.01.02.04</v>
      </c>
      <c r="C154" s="255" t="s">
        <v>127</v>
      </c>
      <c r="D154" s="235"/>
      <c r="E154" s="271">
        <f>E148</f>
        <v>1</v>
      </c>
      <c r="F154" s="237"/>
      <c r="G154" s="237"/>
      <c r="H154" s="237"/>
      <c r="I154" s="237"/>
      <c r="J154" s="294"/>
    </row>
    <row r="155" spans="1:10" ht="15" customHeight="1" x14ac:dyDescent="0.2">
      <c r="A155" s="1"/>
      <c r="B155" s="191" t="str">
        <f>B154 &amp; ".01"</f>
        <v>02.03.01.02.04.01</v>
      </c>
      <c r="C155" s="291" t="s">
        <v>175</v>
      </c>
      <c r="D155" s="256" t="s">
        <v>21</v>
      </c>
      <c r="E155" s="265"/>
      <c r="F155" s="237"/>
      <c r="G155" s="237"/>
      <c r="H155" s="237"/>
      <c r="I155" s="238">
        <f>SUM(I156:I156)</f>
        <v>0.59</v>
      </c>
      <c r="J155" s="238">
        <f>+$E$154*I155</f>
        <v>0.59</v>
      </c>
    </row>
    <row r="156" spans="1:10" ht="15" customHeight="1" x14ac:dyDescent="0.2">
      <c r="A156" s="1"/>
      <c r="B156" s="150"/>
      <c r="C156" s="287"/>
      <c r="D156" s="235"/>
      <c r="E156" s="265">
        <v>1</v>
      </c>
      <c r="F156" s="242" t="s">
        <v>121</v>
      </c>
      <c r="G156" s="237">
        <v>5.9</v>
      </c>
      <c r="H156" s="237">
        <v>0.1</v>
      </c>
      <c r="I156" s="237">
        <f t="shared" ref="I156:I184" si="22">+ROUND(PRODUCT(E156:H156),2)</f>
        <v>0.59</v>
      </c>
      <c r="J156" s="238"/>
    </row>
    <row r="157" spans="1:10" ht="15" customHeight="1" x14ac:dyDescent="0.2">
      <c r="A157" s="1"/>
      <c r="B157" s="150"/>
      <c r="C157" s="287"/>
      <c r="D157" s="235"/>
      <c r="E157" s="265"/>
      <c r="F157" s="237"/>
      <c r="G157" s="237"/>
      <c r="H157" s="237"/>
      <c r="I157" s="237"/>
      <c r="J157" s="238"/>
    </row>
    <row r="158" spans="1:10" ht="15" customHeight="1" x14ac:dyDescent="0.2">
      <c r="A158" s="1"/>
      <c r="B158" s="191" t="str">
        <f>B154 &amp; ".02"</f>
        <v>02.03.01.02.04.02</v>
      </c>
      <c r="C158" s="291" t="s">
        <v>153</v>
      </c>
      <c r="D158" s="256" t="s">
        <v>21</v>
      </c>
      <c r="E158" s="265"/>
      <c r="F158" s="237"/>
      <c r="G158" s="237"/>
      <c r="H158" s="237"/>
      <c r="I158" s="238">
        <f>SUM(I159:I161)</f>
        <v>1.29</v>
      </c>
      <c r="J158" s="238">
        <f>+$E$154*I158</f>
        <v>1.29</v>
      </c>
    </row>
    <row r="159" spans="1:10" ht="15" customHeight="1" x14ac:dyDescent="0.2">
      <c r="A159" s="1"/>
      <c r="B159" s="150"/>
      <c r="C159" s="287"/>
      <c r="D159" s="235"/>
      <c r="E159" s="265">
        <v>1</v>
      </c>
      <c r="F159" s="237" t="s">
        <v>121</v>
      </c>
      <c r="G159" s="237">
        <v>10.363200000000001</v>
      </c>
      <c r="H159" s="237">
        <v>0.1</v>
      </c>
      <c r="I159" s="237">
        <f t="shared" si="22"/>
        <v>1.04</v>
      </c>
      <c r="J159" s="238"/>
    </row>
    <row r="160" spans="1:10" ht="15" customHeight="1" x14ac:dyDescent="0.2">
      <c r="A160" s="1"/>
      <c r="B160" s="150"/>
      <c r="C160" s="287"/>
      <c r="D160" s="235"/>
      <c r="E160" s="265">
        <v>1</v>
      </c>
      <c r="F160" s="242" t="s">
        <v>121</v>
      </c>
      <c r="G160" s="237">
        <v>6.8999999999999999E-3</v>
      </c>
      <c r="H160" s="237">
        <v>12.2</v>
      </c>
      <c r="I160" s="237">
        <f t="shared" si="22"/>
        <v>0.08</v>
      </c>
      <c r="J160" s="238"/>
    </row>
    <row r="161" spans="1:10" ht="15" customHeight="1" x14ac:dyDescent="0.2">
      <c r="A161" s="1"/>
      <c r="B161" s="150"/>
      <c r="C161" s="287"/>
      <c r="D161" s="235"/>
      <c r="E161" s="265">
        <v>1</v>
      </c>
      <c r="F161" s="242" t="s">
        <v>176</v>
      </c>
      <c r="G161" s="237">
        <v>0.03</v>
      </c>
      <c r="H161" s="237">
        <v>5.7</v>
      </c>
      <c r="I161" s="237">
        <f t="shared" si="22"/>
        <v>0.17</v>
      </c>
      <c r="J161" s="238"/>
    </row>
    <row r="162" spans="1:10" ht="15" customHeight="1" x14ac:dyDescent="0.2">
      <c r="A162" s="1"/>
      <c r="B162" s="150"/>
      <c r="C162" s="287"/>
      <c r="D162" s="235"/>
      <c r="E162" s="265"/>
      <c r="F162" s="237"/>
      <c r="G162" s="237"/>
      <c r="H162" s="237"/>
      <c r="I162" s="237"/>
      <c r="J162" s="238"/>
    </row>
    <row r="163" spans="1:10" ht="15" customHeight="1" x14ac:dyDescent="0.2">
      <c r="A163" s="1"/>
      <c r="B163" s="191" t="str">
        <f>B154 &amp; ".03"</f>
        <v>02.03.01.02.04.03</v>
      </c>
      <c r="C163" s="291" t="s">
        <v>152</v>
      </c>
      <c r="D163" s="235" t="s">
        <v>14</v>
      </c>
      <c r="E163" s="265"/>
      <c r="F163" s="237"/>
      <c r="G163" s="237"/>
      <c r="H163" s="237"/>
      <c r="I163" s="238">
        <f>SUM(I164:I165)</f>
        <v>3.54</v>
      </c>
      <c r="J163" s="238">
        <f>+$E$154*I163</f>
        <v>3.54</v>
      </c>
    </row>
    <row r="164" spans="1:10" ht="15" customHeight="1" x14ac:dyDescent="0.2">
      <c r="A164" s="1"/>
      <c r="B164" s="150"/>
      <c r="C164" s="287"/>
      <c r="D164" s="235"/>
      <c r="E164" s="265">
        <v>1</v>
      </c>
      <c r="F164" s="237">
        <v>12.2</v>
      </c>
      <c r="G164" s="237"/>
      <c r="H164" s="237">
        <v>0.15</v>
      </c>
      <c r="I164" s="237">
        <f t="shared" si="22"/>
        <v>1.83</v>
      </c>
      <c r="J164" s="266"/>
    </row>
    <row r="165" spans="1:10" ht="15" customHeight="1" x14ac:dyDescent="0.2">
      <c r="A165" s="1"/>
      <c r="B165" s="150"/>
      <c r="C165" s="287"/>
      <c r="D165" s="235"/>
      <c r="E165" s="265">
        <v>1</v>
      </c>
      <c r="F165" s="237">
        <v>5.7</v>
      </c>
      <c r="G165" s="237"/>
      <c r="H165" s="237">
        <v>0.3</v>
      </c>
      <c r="I165" s="237">
        <f t="shared" si="22"/>
        <v>1.71</v>
      </c>
      <c r="J165" s="266"/>
    </row>
    <row r="166" spans="1:10" ht="15" customHeight="1" x14ac:dyDescent="0.2">
      <c r="A166" s="1"/>
      <c r="B166" s="150"/>
      <c r="C166" s="287"/>
      <c r="D166" s="235"/>
      <c r="E166" s="265"/>
      <c r="F166" s="237"/>
      <c r="G166" s="237"/>
      <c r="H166" s="237"/>
      <c r="I166" s="237"/>
      <c r="J166" s="241"/>
    </row>
    <row r="167" spans="1:10" ht="13.5" customHeight="1" x14ac:dyDescent="0.2">
      <c r="A167" s="1"/>
      <c r="B167" s="191" t="str">
        <f>B154 &amp; ".04"</f>
        <v>02.03.01.02.04.04</v>
      </c>
      <c r="C167" s="291" t="s">
        <v>156</v>
      </c>
      <c r="D167" s="235" t="s">
        <v>130</v>
      </c>
      <c r="E167" s="265"/>
      <c r="F167" s="237"/>
      <c r="G167" s="237"/>
      <c r="H167" s="237"/>
      <c r="I167" s="238">
        <f>SUM(I168)</f>
        <v>13.4</v>
      </c>
      <c r="J167" s="238">
        <f>+$E$154*I167</f>
        <v>13.4</v>
      </c>
    </row>
    <row r="168" spans="1:10" ht="18" customHeight="1" x14ac:dyDescent="0.2">
      <c r="A168" s="1"/>
      <c r="B168" s="150"/>
      <c r="C168" s="295" t="s">
        <v>177</v>
      </c>
      <c r="D168" s="235"/>
      <c r="E168" s="265">
        <v>1</v>
      </c>
      <c r="F168" s="237">
        <v>13.4</v>
      </c>
      <c r="G168" s="237"/>
      <c r="H168" s="237"/>
      <c r="I168" s="237">
        <f t="shared" ref="I168" si="23">+ROUND(PRODUCT(E168:H168),2)</f>
        <v>13.4</v>
      </c>
      <c r="J168" s="266"/>
    </row>
    <row r="169" spans="1:10" ht="18" customHeight="1" x14ac:dyDescent="0.2">
      <c r="A169" s="1"/>
      <c r="C169" s="295"/>
      <c r="D169" s="235"/>
      <c r="E169" s="265"/>
      <c r="F169" s="237"/>
      <c r="G169" s="237"/>
      <c r="H169" s="237"/>
      <c r="I169" s="237"/>
      <c r="J169" s="266"/>
    </row>
    <row r="170" spans="1:10" ht="18" customHeight="1" x14ac:dyDescent="0.2">
      <c r="A170" s="1"/>
      <c r="B170" s="191" t="str">
        <f>$B$154 &amp; ".05"</f>
        <v>02.03.01.02.04.05</v>
      </c>
      <c r="C170" s="291" t="s">
        <v>136</v>
      </c>
      <c r="D170" s="256" t="s">
        <v>29</v>
      </c>
      <c r="E170" s="265"/>
      <c r="F170" s="237"/>
      <c r="G170" s="237"/>
      <c r="H170" s="237"/>
      <c r="I170" s="238">
        <f>SUM(I171)</f>
        <v>16.05</v>
      </c>
      <c r="J170" s="266">
        <f>$E$120*I170</f>
        <v>16.05</v>
      </c>
    </row>
    <row r="171" spans="1:10" ht="18" customHeight="1" x14ac:dyDescent="0.2">
      <c r="A171" s="1"/>
      <c r="B171" s="150"/>
      <c r="C171" s="240" t="s">
        <v>182</v>
      </c>
      <c r="D171" s="235"/>
      <c r="E171" s="265">
        <v>1</v>
      </c>
      <c r="F171" s="237">
        <f>17.4-1.35</f>
        <v>16.049999999999997</v>
      </c>
      <c r="G171" s="237"/>
      <c r="H171" s="237"/>
      <c r="I171" s="237">
        <f t="shared" ref="I171" si="24">+ROUND(PRODUCT(E171:H171),2)</f>
        <v>16.05</v>
      </c>
      <c r="J171" s="266"/>
    </row>
    <row r="172" spans="1:10" ht="18" customHeight="1" x14ac:dyDescent="0.2">
      <c r="A172" s="1"/>
      <c r="B172" s="150"/>
      <c r="C172" s="287"/>
      <c r="D172" s="235"/>
      <c r="E172" s="265"/>
      <c r="F172" s="237"/>
      <c r="G172" s="237"/>
      <c r="H172" s="237"/>
      <c r="I172" s="237"/>
      <c r="J172" s="266"/>
    </row>
    <row r="173" spans="1:10" ht="18" customHeight="1" x14ac:dyDescent="0.2">
      <c r="A173" s="1"/>
      <c r="B173" s="191" t="str">
        <f>$B$154 &amp; ".06"</f>
        <v>02.03.01.02.04.06</v>
      </c>
      <c r="C173" s="296" t="s">
        <v>305</v>
      </c>
      <c r="D173" s="256" t="s">
        <v>29</v>
      </c>
      <c r="E173" s="265"/>
      <c r="F173" s="237"/>
      <c r="G173" s="237"/>
      <c r="H173" s="237"/>
      <c r="I173" s="238">
        <f>SUM(I174)</f>
        <v>1.35</v>
      </c>
      <c r="J173" s="266">
        <f>$E$120*I173</f>
        <v>1.35</v>
      </c>
    </row>
    <row r="174" spans="1:10" ht="18" customHeight="1" x14ac:dyDescent="0.2">
      <c r="A174" s="1"/>
      <c r="B174" s="260"/>
      <c r="C174" s="240" t="s">
        <v>182</v>
      </c>
      <c r="D174" s="235"/>
      <c r="E174" s="265">
        <v>1</v>
      </c>
      <c r="F174" s="237">
        <v>1.35</v>
      </c>
      <c r="G174" s="237"/>
      <c r="H174" s="237"/>
      <c r="I174" s="237">
        <f t="shared" ref="I174" si="25">+ROUND(PRODUCT(E174:H174),2)</f>
        <v>1.35</v>
      </c>
      <c r="J174" s="266"/>
    </row>
    <row r="175" spans="1:10" ht="18" customHeight="1" x14ac:dyDescent="0.2">
      <c r="A175" s="1"/>
      <c r="B175" s="260"/>
      <c r="C175" s="287"/>
      <c r="D175" s="235"/>
      <c r="E175" s="265"/>
      <c r="F175" s="237"/>
      <c r="G175" s="237"/>
      <c r="H175" s="237"/>
      <c r="I175" s="237"/>
      <c r="J175" s="266"/>
    </row>
    <row r="176" spans="1:10" ht="15" customHeight="1" x14ac:dyDescent="0.2">
      <c r="A176" s="3"/>
      <c r="B176" s="245" t="str">
        <f>$B$112 &amp; ".05"</f>
        <v>02.03.01.02.05</v>
      </c>
      <c r="C176" s="255" t="s">
        <v>38</v>
      </c>
      <c r="D176" s="270"/>
      <c r="E176" s="271">
        <f>E154</f>
        <v>1</v>
      </c>
      <c r="F176" s="237"/>
      <c r="G176" s="272"/>
      <c r="H176" s="237"/>
      <c r="I176" s="237"/>
      <c r="J176" s="277"/>
    </row>
    <row r="177" spans="1:10" ht="15" customHeight="1" x14ac:dyDescent="0.2">
      <c r="A177" s="1"/>
      <c r="B177" s="191" t="str">
        <f>$B$176 &amp; ".01"</f>
        <v>02.03.01.02.05.01</v>
      </c>
      <c r="C177" s="291" t="s">
        <v>39</v>
      </c>
      <c r="D177" s="235" t="s">
        <v>14</v>
      </c>
      <c r="E177" s="265"/>
      <c r="F177" s="237"/>
      <c r="G177" s="237"/>
      <c r="H177" s="237"/>
      <c r="I177" s="238">
        <f>SUM(I178)</f>
        <v>21.96</v>
      </c>
      <c r="J177" s="266">
        <f>+$E$176*I177</f>
        <v>21.96</v>
      </c>
    </row>
    <row r="178" spans="1:10" ht="15" customHeight="1" x14ac:dyDescent="0.2">
      <c r="A178" s="1"/>
      <c r="B178" s="150"/>
      <c r="C178" s="268" t="s">
        <v>141</v>
      </c>
      <c r="D178" s="297"/>
      <c r="E178" s="265">
        <v>1</v>
      </c>
      <c r="F178" s="237">
        <v>3.6</v>
      </c>
      <c r="G178" s="237">
        <v>6.1</v>
      </c>
      <c r="H178" s="237"/>
      <c r="I178" s="237">
        <f>+ROUND(PRODUCT(E178:H178),2)</f>
        <v>21.96</v>
      </c>
      <c r="J178" s="277"/>
    </row>
    <row r="179" spans="1:10" ht="15" customHeight="1" x14ac:dyDescent="0.2">
      <c r="A179" s="1"/>
      <c r="B179" s="150"/>
      <c r="C179" s="287"/>
      <c r="D179" s="297"/>
      <c r="E179" s="265"/>
      <c r="F179" s="237"/>
      <c r="G179" s="237"/>
      <c r="H179" s="237"/>
      <c r="I179" s="237"/>
      <c r="J179" s="277"/>
    </row>
    <row r="180" spans="1:10" ht="15" customHeight="1" x14ac:dyDescent="0.2">
      <c r="A180" s="1"/>
      <c r="B180" s="191" t="str">
        <f>$B$176 &amp; ".02"</f>
        <v>02.03.01.02.05.02</v>
      </c>
      <c r="C180" s="291" t="s">
        <v>323</v>
      </c>
      <c r="D180" s="235" t="s">
        <v>130</v>
      </c>
      <c r="E180" s="265"/>
      <c r="F180" s="237"/>
      <c r="G180" s="237"/>
      <c r="H180" s="298"/>
      <c r="I180" s="238">
        <f>SUM(I181)</f>
        <v>23.8</v>
      </c>
      <c r="J180" s="266">
        <f>+$E$176*I180</f>
        <v>23.8</v>
      </c>
    </row>
    <row r="181" spans="1:10" ht="15" customHeight="1" x14ac:dyDescent="0.2">
      <c r="A181" s="1"/>
      <c r="B181" s="150"/>
      <c r="C181" s="240" t="s">
        <v>178</v>
      </c>
      <c r="D181" s="235"/>
      <c r="E181" s="265">
        <v>7</v>
      </c>
      <c r="F181" s="237">
        <v>3.4</v>
      </c>
      <c r="G181" s="237"/>
      <c r="H181" s="298"/>
      <c r="I181" s="237">
        <f t="shared" ref="I181" si="26">+ROUND(PRODUCT(E181:H181),2)</f>
        <v>23.8</v>
      </c>
      <c r="J181" s="299"/>
    </row>
    <row r="182" spans="1:10" ht="15" customHeight="1" x14ac:dyDescent="0.2">
      <c r="A182" s="1"/>
      <c r="B182" s="150"/>
      <c r="C182" s="268"/>
      <c r="D182" s="235"/>
      <c r="E182" s="265"/>
      <c r="F182" s="237"/>
      <c r="G182" s="237"/>
      <c r="H182" s="237"/>
      <c r="I182" s="237"/>
      <c r="J182" s="266"/>
    </row>
    <row r="183" spans="1:10" ht="15.75" customHeight="1" x14ac:dyDescent="0.2">
      <c r="A183" s="1"/>
      <c r="B183" s="191" t="str">
        <f>$B$176 &amp; ".03"</f>
        <v>02.03.01.02.05.03</v>
      </c>
      <c r="C183" s="291" t="s">
        <v>324</v>
      </c>
      <c r="D183" s="235" t="s">
        <v>130</v>
      </c>
      <c r="E183" s="265"/>
      <c r="F183" s="237"/>
      <c r="G183" s="237"/>
      <c r="H183" s="237"/>
      <c r="I183" s="238">
        <f>SUM(I184:I185)</f>
        <v>30</v>
      </c>
      <c r="J183" s="266">
        <f>+$E$176*I183</f>
        <v>30</v>
      </c>
    </row>
    <row r="184" spans="1:10" ht="15.6" customHeight="1" x14ac:dyDescent="0.2">
      <c r="A184" s="1"/>
      <c r="B184" s="150"/>
      <c r="C184" s="287" t="s">
        <v>132</v>
      </c>
      <c r="D184" s="235"/>
      <c r="E184" s="265">
        <v>5</v>
      </c>
      <c r="F184" s="237">
        <v>6</v>
      </c>
      <c r="G184" s="237"/>
      <c r="H184" s="237"/>
      <c r="I184" s="237">
        <f t="shared" si="22"/>
        <v>30</v>
      </c>
      <c r="J184" s="266"/>
    </row>
    <row r="185" spans="1:10" ht="15.6" customHeight="1" x14ac:dyDescent="0.2">
      <c r="A185" s="1"/>
      <c r="B185" s="150"/>
      <c r="C185" s="287"/>
      <c r="D185" s="235"/>
      <c r="E185" s="265"/>
      <c r="F185" s="237"/>
      <c r="G185" s="237"/>
      <c r="H185" s="237"/>
      <c r="I185" s="237"/>
      <c r="J185" s="266"/>
    </row>
    <row r="186" spans="1:10" s="120" customFormat="1" ht="15.75" customHeight="1" x14ac:dyDescent="0.2">
      <c r="A186" s="121"/>
      <c r="B186" s="245" t="str">
        <f>$B$112 &amp; ".06"</f>
        <v>02.03.01.02.06</v>
      </c>
      <c r="C186" s="255" t="s">
        <v>40</v>
      </c>
      <c r="D186" s="270"/>
      <c r="E186" s="271">
        <f>E176</f>
        <v>1</v>
      </c>
      <c r="F186" s="237"/>
      <c r="G186" s="272"/>
      <c r="H186" s="237"/>
      <c r="I186" s="237"/>
      <c r="J186" s="277"/>
    </row>
    <row r="187" spans="1:10" s="120" customFormat="1" ht="16.149999999999999" customHeight="1" x14ac:dyDescent="0.2">
      <c r="A187" s="119"/>
      <c r="B187" s="191" t="str">
        <f>$B$186 &amp; ".01"</f>
        <v>02.03.01.02.06.01</v>
      </c>
      <c r="C187" s="291" t="s">
        <v>179</v>
      </c>
      <c r="D187" s="235" t="s">
        <v>35</v>
      </c>
      <c r="E187" s="265">
        <v>3</v>
      </c>
      <c r="F187" s="237"/>
      <c r="G187" s="237"/>
      <c r="H187" s="237"/>
      <c r="I187" s="237">
        <f t="shared" ref="I187" si="27">+ROUND(PRODUCT(E187:H187),2)</f>
        <v>3</v>
      </c>
      <c r="J187" s="266">
        <f>+$E$186*I187</f>
        <v>3</v>
      </c>
    </row>
    <row r="188" spans="1:10" s="120" customFormat="1" ht="16.149999999999999" customHeight="1" x14ac:dyDescent="0.2">
      <c r="A188" s="119"/>
      <c r="B188" s="191" t="str">
        <f>$B$186 &amp; ".02"</f>
        <v>02.03.01.02.06.02</v>
      </c>
      <c r="C188" s="291" t="s">
        <v>180</v>
      </c>
      <c r="D188" s="235" t="s">
        <v>35</v>
      </c>
      <c r="E188" s="265">
        <v>3</v>
      </c>
      <c r="F188" s="237"/>
      <c r="G188" s="237"/>
      <c r="H188" s="237"/>
      <c r="I188" s="237">
        <f t="shared" ref="I188" si="28">+ROUND(PRODUCT(E188:H188),2)</f>
        <v>3</v>
      </c>
      <c r="J188" s="266">
        <f>+$E$186*I188</f>
        <v>3</v>
      </c>
    </row>
    <row r="189" spans="1:10" s="120" customFormat="1" ht="15" customHeight="1" x14ac:dyDescent="0.2">
      <c r="A189" s="121"/>
      <c r="B189" s="150"/>
      <c r="C189" s="274"/>
      <c r="D189" s="235"/>
      <c r="E189" s="265"/>
      <c r="F189" s="237"/>
      <c r="G189" s="237"/>
      <c r="H189" s="237"/>
      <c r="I189" s="237"/>
      <c r="J189" s="300"/>
    </row>
    <row r="190" spans="1:10" s="120" customFormat="1" ht="15" customHeight="1" x14ac:dyDescent="0.2">
      <c r="A190" s="121"/>
      <c r="B190" s="245" t="str">
        <f>$B$112 &amp; ".07"</f>
        <v>02.03.01.02.07</v>
      </c>
      <c r="C190" s="255" t="s">
        <v>41</v>
      </c>
      <c r="D190" s="270"/>
      <c r="E190" s="271">
        <f>E176</f>
        <v>1</v>
      </c>
      <c r="F190" s="237"/>
      <c r="G190" s="272"/>
      <c r="H190" s="237"/>
      <c r="I190" s="237"/>
      <c r="J190" s="266"/>
    </row>
    <row r="191" spans="1:10" s="120" customFormat="1" ht="15" customHeight="1" x14ac:dyDescent="0.2">
      <c r="A191" s="121"/>
      <c r="B191" s="191" t="str">
        <f>$B$190 &amp; ".01"</f>
        <v>02.03.01.02.07.01</v>
      </c>
      <c r="C191" s="291" t="s">
        <v>42</v>
      </c>
      <c r="D191" s="235" t="s">
        <v>35</v>
      </c>
      <c r="E191" s="265">
        <v>3</v>
      </c>
      <c r="F191" s="237"/>
      <c r="G191" s="237"/>
      <c r="H191" s="237"/>
      <c r="I191" s="237">
        <f t="shared" ref="I191:I193" si="29">+ROUND(PRODUCT(E191:H191),2)</f>
        <v>3</v>
      </c>
      <c r="J191" s="266">
        <f t="shared" ref="J191:J193" si="30">+$E$190*I191</f>
        <v>3</v>
      </c>
    </row>
    <row r="192" spans="1:10" s="120" customFormat="1" ht="15" customHeight="1" x14ac:dyDescent="0.2">
      <c r="A192" s="121"/>
      <c r="B192" s="191" t="str">
        <f>$B$190 &amp; ".02"</f>
        <v>02.03.01.02.07.02</v>
      </c>
      <c r="C192" s="291" t="s">
        <v>43</v>
      </c>
      <c r="D192" s="235" t="s">
        <v>35</v>
      </c>
      <c r="E192" s="265">
        <v>9</v>
      </c>
      <c r="F192" s="237"/>
      <c r="G192" s="237"/>
      <c r="H192" s="237"/>
      <c r="I192" s="237">
        <f t="shared" si="29"/>
        <v>9</v>
      </c>
      <c r="J192" s="266">
        <f t="shared" si="30"/>
        <v>9</v>
      </c>
    </row>
    <row r="193" spans="1:10" s="120" customFormat="1" ht="15" customHeight="1" x14ac:dyDescent="0.2">
      <c r="A193" s="122"/>
      <c r="B193" s="191" t="str">
        <f>$B$190 &amp; ".03"</f>
        <v>02.03.01.02.07.03</v>
      </c>
      <c r="C193" s="291" t="s">
        <v>181</v>
      </c>
      <c r="D193" s="256" t="s">
        <v>35</v>
      </c>
      <c r="E193" s="265">
        <v>18</v>
      </c>
      <c r="F193" s="237"/>
      <c r="G193" s="237"/>
      <c r="H193" s="237"/>
      <c r="I193" s="237">
        <f t="shared" si="29"/>
        <v>18</v>
      </c>
      <c r="J193" s="266">
        <f t="shared" si="30"/>
        <v>18</v>
      </c>
    </row>
    <row r="194" spans="1:10" s="120" customFormat="1" ht="15" customHeight="1" x14ac:dyDescent="0.2">
      <c r="A194" s="122"/>
      <c r="B194" s="191"/>
      <c r="C194" s="291"/>
      <c r="D194" s="235"/>
      <c r="E194" s="265"/>
      <c r="F194" s="237"/>
      <c r="G194" s="237"/>
      <c r="H194" s="237"/>
      <c r="I194" s="237"/>
      <c r="J194" s="266"/>
    </row>
    <row r="195" spans="1:10" s="120" customFormat="1" ht="15" customHeight="1" x14ac:dyDescent="0.2">
      <c r="A195" s="122"/>
      <c r="B195" s="245" t="str">
        <f>$B$112 &amp; ".08"</f>
        <v>02.03.01.02.08</v>
      </c>
      <c r="C195" s="255" t="s">
        <v>126</v>
      </c>
      <c r="D195" s="235"/>
      <c r="E195" s="271">
        <f>E186</f>
        <v>1</v>
      </c>
      <c r="F195" s="237"/>
      <c r="G195" s="237"/>
      <c r="H195" s="237"/>
      <c r="I195" s="237"/>
      <c r="J195" s="266"/>
    </row>
    <row r="196" spans="1:10" s="120" customFormat="1" ht="15" customHeight="1" x14ac:dyDescent="0.2">
      <c r="A196" s="122"/>
      <c r="B196" s="191" t="str">
        <f>$B$195 &amp; ".01"</f>
        <v>02.03.01.02.08.01</v>
      </c>
      <c r="C196" s="288" t="s">
        <v>183</v>
      </c>
      <c r="D196" s="235" t="s">
        <v>14</v>
      </c>
      <c r="E196" s="265"/>
      <c r="F196" s="237"/>
      <c r="G196" s="237"/>
      <c r="H196" s="237"/>
      <c r="I196" s="238">
        <f>SUM(I197:I198)</f>
        <v>18.36</v>
      </c>
      <c r="J196" s="266">
        <f>+$E$195*I196</f>
        <v>18.36</v>
      </c>
    </row>
    <row r="197" spans="1:10" s="120" customFormat="1" ht="15" customHeight="1" x14ac:dyDescent="0.2">
      <c r="A197" s="122"/>
      <c r="B197" s="150"/>
      <c r="C197" s="289" t="s">
        <v>287</v>
      </c>
      <c r="D197" s="235"/>
      <c r="E197" s="265">
        <v>3</v>
      </c>
      <c r="F197" s="242" t="s">
        <v>169</v>
      </c>
      <c r="G197" s="237">
        <v>5.0999999999999996</v>
      </c>
      <c r="H197" s="237">
        <v>1.2</v>
      </c>
      <c r="I197" s="237">
        <f t="shared" ref="I197" si="31">+ROUND(PRODUCT(E197:H197),2)</f>
        <v>18.36</v>
      </c>
      <c r="J197" s="266"/>
    </row>
    <row r="198" spans="1:10" s="120" customFormat="1" ht="15" customHeight="1" x14ac:dyDescent="0.2">
      <c r="A198" s="122"/>
      <c r="B198" s="150"/>
      <c r="C198" s="295"/>
      <c r="D198" s="235"/>
      <c r="E198" s="265"/>
      <c r="F198" s="242"/>
      <c r="G198" s="237"/>
      <c r="H198" s="237"/>
      <c r="I198" s="237"/>
      <c r="J198" s="266"/>
    </row>
    <row r="199" spans="1:10" s="120" customFormat="1" ht="15" customHeight="1" x14ac:dyDescent="0.2">
      <c r="A199" s="122"/>
      <c r="B199" s="191" t="str">
        <f>$B$195 &amp; ".02"</f>
        <v>02.03.01.02.08.02</v>
      </c>
      <c r="C199" s="288" t="s">
        <v>184</v>
      </c>
      <c r="D199" s="256" t="s">
        <v>14</v>
      </c>
      <c r="E199" s="265"/>
      <c r="F199" s="237"/>
      <c r="G199" s="237"/>
      <c r="H199" s="237"/>
      <c r="I199" s="238">
        <f>SUM(I200:I209)</f>
        <v>30.909999999999997</v>
      </c>
      <c r="J199" s="266">
        <f>+$E$195*I199</f>
        <v>30.909999999999997</v>
      </c>
    </row>
    <row r="200" spans="1:10" s="120" customFormat="1" ht="15" customHeight="1" x14ac:dyDescent="0.2">
      <c r="A200" s="122"/>
      <c r="B200" s="150"/>
      <c r="C200" s="289" t="s">
        <v>390</v>
      </c>
      <c r="D200" s="256"/>
      <c r="E200" s="276">
        <v>6</v>
      </c>
      <c r="F200" s="242" t="s">
        <v>121</v>
      </c>
      <c r="G200" s="242">
        <v>1.6353</v>
      </c>
      <c r="H200" s="242"/>
      <c r="I200" s="237">
        <f t="shared" ref="I200:I209" si="32">+ROUND(PRODUCT(E200:H200),2)</f>
        <v>9.81</v>
      </c>
      <c r="J200" s="266"/>
    </row>
    <row r="201" spans="1:10" s="120" customFormat="1" ht="15" customHeight="1" x14ac:dyDescent="0.2">
      <c r="A201" s="122"/>
      <c r="B201" s="150"/>
      <c r="C201" s="289" t="s">
        <v>391</v>
      </c>
      <c r="D201" s="256"/>
      <c r="E201" s="276">
        <v>3</v>
      </c>
      <c r="F201" s="242">
        <v>0.7</v>
      </c>
      <c r="G201" s="242"/>
      <c r="H201" s="242">
        <v>0.95</v>
      </c>
      <c r="I201" s="237">
        <f t="shared" si="32"/>
        <v>2</v>
      </c>
      <c r="J201" s="266"/>
    </row>
    <row r="202" spans="1:10" s="120" customFormat="1" ht="15" customHeight="1" x14ac:dyDescent="0.2">
      <c r="A202" s="122"/>
      <c r="B202" s="150"/>
      <c r="C202" s="289" t="s">
        <v>392</v>
      </c>
      <c r="D202" s="256"/>
      <c r="E202" s="276">
        <v>3</v>
      </c>
      <c r="F202" s="242">
        <v>1.3</v>
      </c>
      <c r="G202" s="242"/>
      <c r="H202" s="242">
        <v>1.5</v>
      </c>
      <c r="I202" s="237">
        <f t="shared" si="32"/>
        <v>5.85</v>
      </c>
      <c r="J202" s="266"/>
    </row>
    <row r="203" spans="1:10" s="120" customFormat="1" ht="15" customHeight="1" x14ac:dyDescent="0.2">
      <c r="A203" s="122"/>
      <c r="B203" s="150"/>
      <c r="C203" s="289" t="s">
        <v>286</v>
      </c>
      <c r="D203" s="256"/>
      <c r="E203" s="276">
        <v>-3</v>
      </c>
      <c r="F203" s="242">
        <v>0.7</v>
      </c>
      <c r="G203" s="242"/>
      <c r="H203" s="242">
        <v>0.5</v>
      </c>
      <c r="I203" s="237">
        <f t="shared" si="32"/>
        <v>-1.05</v>
      </c>
      <c r="J203" s="266"/>
    </row>
    <row r="204" spans="1:10" s="120" customFormat="1" ht="15" customHeight="1" x14ac:dyDescent="0.2">
      <c r="A204" s="122"/>
      <c r="B204" s="150"/>
      <c r="C204" s="289" t="s">
        <v>290</v>
      </c>
      <c r="D204" s="256"/>
      <c r="E204" s="276">
        <v>6</v>
      </c>
      <c r="F204" s="242">
        <v>0.7</v>
      </c>
      <c r="G204" s="242">
        <v>0.15</v>
      </c>
      <c r="H204" s="242"/>
      <c r="I204" s="237">
        <f t="shared" si="32"/>
        <v>0.63</v>
      </c>
      <c r="J204" s="266"/>
    </row>
    <row r="205" spans="1:10" s="120" customFormat="1" ht="15" customHeight="1" x14ac:dyDescent="0.2">
      <c r="A205" s="122"/>
      <c r="B205" s="150"/>
      <c r="C205" s="289"/>
      <c r="D205" s="256"/>
      <c r="E205" s="290">
        <v>6</v>
      </c>
      <c r="F205" s="242">
        <v>0.5</v>
      </c>
      <c r="G205" s="242">
        <v>0.15</v>
      </c>
      <c r="H205" s="242"/>
      <c r="I205" s="237">
        <f t="shared" si="32"/>
        <v>0.45</v>
      </c>
      <c r="J205" s="266"/>
    </row>
    <row r="206" spans="1:10" s="120" customFormat="1" ht="15" customHeight="1" x14ac:dyDescent="0.2">
      <c r="A206" s="122"/>
      <c r="B206" s="150"/>
      <c r="C206" s="240" t="s">
        <v>281</v>
      </c>
      <c r="D206" s="256"/>
      <c r="E206" s="276">
        <v>9</v>
      </c>
      <c r="F206" s="242">
        <v>0.15</v>
      </c>
      <c r="G206" s="242"/>
      <c r="H206" s="242">
        <v>2.15</v>
      </c>
      <c r="I206" s="237">
        <f t="shared" si="32"/>
        <v>2.9</v>
      </c>
      <c r="J206" s="266"/>
    </row>
    <row r="207" spans="1:10" s="120" customFormat="1" ht="15" customHeight="1" x14ac:dyDescent="0.2">
      <c r="A207" s="122"/>
      <c r="B207" s="150"/>
      <c r="C207" s="240" t="s">
        <v>282</v>
      </c>
      <c r="D207" s="256"/>
      <c r="E207" s="276">
        <v>6</v>
      </c>
      <c r="F207" s="242">
        <v>0.15</v>
      </c>
      <c r="G207" s="242"/>
      <c r="H207" s="242">
        <v>2.5</v>
      </c>
      <c r="I207" s="237">
        <f t="shared" si="32"/>
        <v>2.25</v>
      </c>
      <c r="J207" s="266"/>
    </row>
    <row r="208" spans="1:10" s="120" customFormat="1" ht="15" customHeight="1" x14ac:dyDescent="0.2">
      <c r="A208" s="122"/>
      <c r="B208" s="150"/>
      <c r="C208" s="240" t="s">
        <v>292</v>
      </c>
      <c r="D208" s="256"/>
      <c r="E208" s="276">
        <v>2</v>
      </c>
      <c r="F208" s="242" t="s">
        <v>169</v>
      </c>
      <c r="G208" s="242">
        <v>0.5</v>
      </c>
      <c r="H208" s="242">
        <v>5.0999999999999996</v>
      </c>
      <c r="I208" s="237">
        <f t="shared" si="32"/>
        <v>5.0999999999999996</v>
      </c>
      <c r="J208" s="266"/>
    </row>
    <row r="209" spans="1:10" s="120" customFormat="1" ht="15" customHeight="1" x14ac:dyDescent="0.2">
      <c r="A209" s="122"/>
      <c r="B209" s="150"/>
      <c r="C209" s="240" t="s">
        <v>293</v>
      </c>
      <c r="D209" s="256"/>
      <c r="E209" s="276">
        <v>4</v>
      </c>
      <c r="F209" s="242" t="s">
        <v>169</v>
      </c>
      <c r="G209" s="242">
        <v>0.45</v>
      </c>
      <c r="H209" s="242">
        <v>1.65</v>
      </c>
      <c r="I209" s="237">
        <f t="shared" si="32"/>
        <v>2.97</v>
      </c>
      <c r="J209" s="266"/>
    </row>
    <row r="210" spans="1:10" s="120" customFormat="1" ht="15" customHeight="1" x14ac:dyDescent="0.2">
      <c r="A210" s="122"/>
      <c r="B210" s="150"/>
      <c r="C210" s="240"/>
      <c r="D210" s="235"/>
      <c r="E210" s="265"/>
      <c r="F210" s="237"/>
      <c r="G210" s="237"/>
      <c r="H210" s="237"/>
      <c r="I210" s="237"/>
      <c r="J210" s="266"/>
    </row>
    <row r="211" spans="1:10" s="120" customFormat="1" ht="15" customHeight="1" x14ac:dyDescent="0.2">
      <c r="A211" s="122"/>
      <c r="B211" s="191" t="str">
        <f>$B$195 &amp; ".03"</f>
        <v>02.03.01.02.08.03</v>
      </c>
      <c r="C211" s="301" t="s">
        <v>332</v>
      </c>
      <c r="D211" s="256" t="s">
        <v>14</v>
      </c>
      <c r="E211" s="265"/>
      <c r="F211" s="237"/>
      <c r="G211" s="237"/>
      <c r="H211" s="237"/>
      <c r="I211" s="238">
        <f>SUM(I212:I214)</f>
        <v>1.8399999999999999</v>
      </c>
      <c r="J211" s="266">
        <f>+$E$195*I211</f>
        <v>1.8399999999999999</v>
      </c>
    </row>
    <row r="212" spans="1:10" s="120" customFormat="1" ht="15" customHeight="1" x14ac:dyDescent="0.2">
      <c r="A212" s="122"/>
      <c r="B212" s="150"/>
      <c r="C212" s="240" t="s">
        <v>172</v>
      </c>
      <c r="D212" s="235"/>
      <c r="E212" s="236">
        <v>2</v>
      </c>
      <c r="F212" s="239">
        <v>1.3</v>
      </c>
      <c r="G212" s="239"/>
      <c r="H212" s="239">
        <v>0.2</v>
      </c>
      <c r="I212" s="237">
        <f t="shared" ref="I212:I214" si="33">+ROUND(PRODUCT(E212:H212),2)</f>
        <v>0.52</v>
      </c>
      <c r="J212" s="266"/>
    </row>
    <row r="213" spans="1:10" s="120" customFormat="1" ht="15" customHeight="1" x14ac:dyDescent="0.2">
      <c r="A213" s="122"/>
      <c r="B213" s="150"/>
      <c r="C213" s="240" t="s">
        <v>173</v>
      </c>
      <c r="D213" s="235"/>
      <c r="E213" s="265">
        <v>1</v>
      </c>
      <c r="F213" s="237">
        <v>2.1</v>
      </c>
      <c r="G213" s="237"/>
      <c r="H213" s="237">
        <v>0.2</v>
      </c>
      <c r="I213" s="237">
        <f t="shared" si="33"/>
        <v>0.42</v>
      </c>
      <c r="J213" s="266"/>
    </row>
    <row r="214" spans="1:10" s="120" customFormat="1" ht="15" customHeight="1" x14ac:dyDescent="0.2">
      <c r="A214" s="122"/>
      <c r="B214" s="150"/>
      <c r="C214" s="240" t="s">
        <v>174</v>
      </c>
      <c r="D214" s="235"/>
      <c r="E214" s="265">
        <v>1</v>
      </c>
      <c r="F214" s="237">
        <v>4.5</v>
      </c>
      <c r="G214" s="237"/>
      <c r="H214" s="237">
        <v>0.2</v>
      </c>
      <c r="I214" s="237">
        <f t="shared" si="33"/>
        <v>0.9</v>
      </c>
      <c r="J214" s="266"/>
    </row>
    <row r="215" spans="1:10" s="120" customFormat="1" ht="15" customHeight="1" x14ac:dyDescent="0.2">
      <c r="A215" s="122"/>
      <c r="B215" s="150"/>
      <c r="C215" s="172"/>
      <c r="D215" s="125"/>
      <c r="E215" s="167"/>
      <c r="F215" s="123"/>
      <c r="G215" s="123"/>
      <c r="H215" s="123"/>
      <c r="I215" s="123"/>
      <c r="J215" s="145"/>
    </row>
    <row r="216" spans="1:10" ht="15" customHeight="1" x14ac:dyDescent="0.25">
      <c r="A216" s="3"/>
      <c r="B216" s="243" t="str">
        <f>$B$26 &amp; ".03"</f>
        <v>02.03.01.03</v>
      </c>
      <c r="C216" s="244" t="s">
        <v>44</v>
      </c>
      <c r="D216" s="128"/>
      <c r="E216" s="126">
        <f>E195</f>
        <v>1</v>
      </c>
      <c r="F216" s="123"/>
      <c r="G216" s="140"/>
      <c r="H216" s="123"/>
      <c r="I216" s="123"/>
      <c r="J216" s="171"/>
    </row>
    <row r="217" spans="1:10" s="120" customFormat="1" ht="15" customHeight="1" x14ac:dyDescent="0.2">
      <c r="A217" s="121"/>
      <c r="B217" s="245" t="str">
        <f>$B$216&amp; ".01"</f>
        <v>02.03.01.03.01</v>
      </c>
      <c r="C217" s="246" t="s">
        <v>139</v>
      </c>
      <c r="D217" s="128"/>
      <c r="E217" s="126"/>
      <c r="F217" s="123"/>
      <c r="G217" s="140"/>
      <c r="H217" s="123"/>
      <c r="I217" s="123"/>
      <c r="J217" s="171"/>
    </row>
    <row r="218" spans="1:10" ht="15" customHeight="1" x14ac:dyDescent="0.2">
      <c r="A218" s="3"/>
      <c r="B218" s="191" t="str">
        <f>$B$217 &amp; ".01"</f>
        <v>02.03.01.03.01.01</v>
      </c>
      <c r="C218" s="192" t="s">
        <v>154</v>
      </c>
      <c r="D218" s="125" t="s">
        <v>35</v>
      </c>
      <c r="E218" s="127">
        <v>1</v>
      </c>
      <c r="F218" s="123"/>
      <c r="G218" s="123"/>
      <c r="H218" s="123"/>
      <c r="I218" s="130">
        <f>E218</f>
        <v>1</v>
      </c>
      <c r="J218" s="145">
        <f>+$E$216*I218</f>
        <v>1</v>
      </c>
    </row>
    <row r="219" spans="1:10" ht="15" customHeight="1" x14ac:dyDescent="0.2">
      <c r="A219" s="115"/>
      <c r="B219" s="150"/>
      <c r="C219" s="139" t="s">
        <v>185</v>
      </c>
      <c r="D219" s="125" t="s">
        <v>130</v>
      </c>
      <c r="E219" s="123">
        <f>2.6+3.7</f>
        <v>6.3000000000000007</v>
      </c>
      <c r="F219" s="123"/>
      <c r="G219" s="123"/>
      <c r="H219" s="123"/>
      <c r="I219" s="123"/>
      <c r="J219" s="145"/>
    </row>
    <row r="220" spans="1:10" ht="15" customHeight="1" x14ac:dyDescent="0.2">
      <c r="A220" s="115"/>
      <c r="C220" s="139" t="s">
        <v>186</v>
      </c>
      <c r="D220" s="125" t="s">
        <v>35</v>
      </c>
      <c r="E220" s="123">
        <v>4</v>
      </c>
      <c r="F220" s="123"/>
      <c r="G220" s="123"/>
      <c r="H220" s="123"/>
      <c r="I220" s="123"/>
      <c r="J220" s="145"/>
    </row>
    <row r="221" spans="1:10" ht="15" customHeight="1" x14ac:dyDescent="0.2">
      <c r="A221" s="115"/>
      <c r="C221" s="139" t="s">
        <v>295</v>
      </c>
      <c r="D221" s="202" t="s">
        <v>35</v>
      </c>
      <c r="E221" s="123">
        <v>2</v>
      </c>
      <c r="F221" s="123"/>
      <c r="G221" s="123"/>
      <c r="H221" s="123"/>
      <c r="I221" s="123"/>
      <c r="J221" s="145"/>
    </row>
    <row r="222" spans="1:10" ht="15" customHeight="1" x14ac:dyDescent="0.2">
      <c r="A222" s="115"/>
      <c r="B222" s="150"/>
      <c r="C222" s="139" t="s">
        <v>187</v>
      </c>
      <c r="D222" s="125" t="s">
        <v>35</v>
      </c>
      <c r="E222" s="123">
        <v>1</v>
      </c>
      <c r="F222" s="123"/>
      <c r="G222" s="123"/>
      <c r="H222" s="123"/>
      <c r="I222" s="123"/>
      <c r="J222" s="145"/>
    </row>
    <row r="223" spans="1:10" ht="15" customHeight="1" x14ac:dyDescent="0.2">
      <c r="A223" s="115"/>
      <c r="B223" s="150"/>
      <c r="C223" s="201" t="s">
        <v>188</v>
      </c>
      <c r="D223" s="125" t="s">
        <v>35</v>
      </c>
      <c r="E223" s="123">
        <v>1</v>
      </c>
      <c r="F223" s="123"/>
      <c r="G223" s="123"/>
      <c r="H223" s="123"/>
      <c r="I223" s="123"/>
      <c r="J223" s="145"/>
    </row>
    <row r="224" spans="1:10" ht="15" customHeight="1" x14ac:dyDescent="0.2">
      <c r="A224" s="115"/>
      <c r="B224" s="150"/>
      <c r="C224" s="201" t="s">
        <v>190</v>
      </c>
      <c r="D224" s="202" t="s">
        <v>130</v>
      </c>
      <c r="E224" s="123">
        <v>22</v>
      </c>
      <c r="F224" s="123"/>
      <c r="G224" s="123"/>
      <c r="H224" s="123"/>
      <c r="I224" s="123"/>
      <c r="J224" s="145"/>
    </row>
    <row r="225" spans="1:10" ht="15" customHeight="1" x14ac:dyDescent="0.2">
      <c r="A225" s="115"/>
      <c r="B225" s="150"/>
      <c r="C225" s="201"/>
      <c r="D225" s="125"/>
      <c r="E225" s="127"/>
      <c r="F225" s="123"/>
      <c r="G225" s="123"/>
      <c r="H225" s="123"/>
      <c r="I225" s="123"/>
      <c r="J225" s="145"/>
    </row>
    <row r="226" spans="1:10" ht="15" customHeight="1" x14ac:dyDescent="0.2">
      <c r="A226" s="3"/>
      <c r="B226" s="191" t="str">
        <f>$B$217 &amp; ".02"</f>
        <v>02.03.01.03.01.02</v>
      </c>
      <c r="C226" s="192" t="s">
        <v>193</v>
      </c>
      <c r="D226" s="202" t="s">
        <v>35</v>
      </c>
      <c r="E226" s="127">
        <v>3</v>
      </c>
      <c r="F226" s="123"/>
      <c r="G226" s="123"/>
      <c r="H226" s="123"/>
      <c r="I226" s="259">
        <f>E226</f>
        <v>3</v>
      </c>
      <c r="J226" s="145">
        <f>+$E$216*I226</f>
        <v>3</v>
      </c>
    </row>
    <row r="227" spans="1:10" ht="15" customHeight="1" x14ac:dyDescent="0.2">
      <c r="A227" s="115"/>
      <c r="B227" s="150"/>
      <c r="C227" s="201" t="s">
        <v>320</v>
      </c>
      <c r="D227" s="125" t="s">
        <v>35</v>
      </c>
      <c r="E227" s="127">
        <v>1</v>
      </c>
      <c r="F227" s="123"/>
      <c r="G227" s="123"/>
      <c r="H227" s="123"/>
      <c r="I227" s="123"/>
      <c r="J227" s="145"/>
    </row>
    <row r="228" spans="1:10" ht="15" customHeight="1" x14ac:dyDescent="0.2">
      <c r="A228" s="115"/>
      <c r="B228" s="150"/>
      <c r="C228" s="132"/>
      <c r="D228" s="125"/>
      <c r="E228" s="127"/>
      <c r="F228" s="123"/>
      <c r="G228" s="123"/>
      <c r="H228" s="123"/>
      <c r="I228" s="123"/>
      <c r="J228" s="145"/>
    </row>
    <row r="229" spans="1:10" ht="15" customHeight="1" x14ac:dyDescent="0.2">
      <c r="A229" s="3"/>
      <c r="B229" s="191" t="str">
        <f>$B$217 &amp; ".03"</f>
        <v>02.03.01.03.01.03</v>
      </c>
      <c r="C229" s="192" t="s">
        <v>151</v>
      </c>
      <c r="D229" s="202" t="s">
        <v>35</v>
      </c>
      <c r="E229" s="127">
        <v>3</v>
      </c>
      <c r="F229" s="123"/>
      <c r="G229" s="123"/>
      <c r="H229" s="123"/>
      <c r="I229" s="130">
        <f>E229</f>
        <v>3</v>
      </c>
      <c r="J229" s="145">
        <f>+$E$216*I229</f>
        <v>3</v>
      </c>
    </row>
    <row r="230" spans="1:10" ht="15" customHeight="1" x14ac:dyDescent="0.2">
      <c r="A230" s="115"/>
      <c r="B230" s="150"/>
      <c r="C230" s="137" t="s">
        <v>192</v>
      </c>
      <c r="D230" s="125" t="s">
        <v>35</v>
      </c>
      <c r="E230" s="127">
        <v>3</v>
      </c>
      <c r="F230" s="123"/>
      <c r="G230" s="123"/>
      <c r="H230" s="123"/>
      <c r="I230" s="123"/>
      <c r="J230" s="145"/>
    </row>
    <row r="231" spans="1:10" ht="15" customHeight="1" x14ac:dyDescent="0.2">
      <c r="A231" s="115"/>
      <c r="B231" s="150"/>
      <c r="C231" s="137" t="s">
        <v>191</v>
      </c>
      <c r="D231" s="125" t="s">
        <v>35</v>
      </c>
      <c r="E231" s="127">
        <v>1</v>
      </c>
      <c r="F231" s="123"/>
      <c r="G231" s="123"/>
      <c r="H231" s="123"/>
      <c r="I231" s="123"/>
      <c r="J231" s="145"/>
    </row>
    <row r="232" spans="1:10" ht="15" customHeight="1" x14ac:dyDescent="0.2">
      <c r="A232" s="115"/>
      <c r="B232" s="150"/>
      <c r="C232" s="137"/>
      <c r="D232" s="125"/>
      <c r="E232" s="127"/>
      <c r="F232" s="123"/>
      <c r="G232" s="123"/>
      <c r="H232" s="123"/>
      <c r="I232" s="123"/>
      <c r="J232" s="145"/>
    </row>
    <row r="233" spans="1:10" ht="15" customHeight="1" x14ac:dyDescent="0.2">
      <c r="A233" s="1"/>
      <c r="B233" s="191" t="str">
        <f>$B$217 &amp; ".04"</f>
        <v>02.03.01.03.01.04</v>
      </c>
      <c r="C233" s="192" t="s">
        <v>150</v>
      </c>
      <c r="D233" s="202" t="s">
        <v>35</v>
      </c>
      <c r="E233" s="127">
        <v>1</v>
      </c>
      <c r="F233" s="123"/>
      <c r="G233" s="123"/>
      <c r="H233" s="123"/>
      <c r="I233" s="130">
        <f>E233</f>
        <v>1</v>
      </c>
      <c r="J233" s="145">
        <f>+$E$216*I233</f>
        <v>1</v>
      </c>
    </row>
    <row r="234" spans="1:10" ht="15" customHeight="1" x14ac:dyDescent="0.2">
      <c r="A234" s="1"/>
      <c r="B234" s="150"/>
      <c r="C234" s="139" t="s">
        <v>189</v>
      </c>
      <c r="D234" s="125" t="s">
        <v>35</v>
      </c>
      <c r="E234" s="127">
        <v>1</v>
      </c>
      <c r="F234" s="123"/>
      <c r="G234" s="123"/>
      <c r="H234" s="123"/>
      <c r="I234" s="123"/>
      <c r="J234" s="145"/>
    </row>
    <row r="235" spans="1:10" ht="15" customHeight="1" x14ac:dyDescent="0.2">
      <c r="A235" s="1"/>
      <c r="B235" s="150"/>
      <c r="C235" s="137" t="s">
        <v>142</v>
      </c>
      <c r="D235" s="125" t="s">
        <v>35</v>
      </c>
      <c r="E235" s="127">
        <v>1</v>
      </c>
      <c r="F235" s="123"/>
      <c r="G235" s="123"/>
      <c r="H235" s="123"/>
      <c r="I235" s="123"/>
      <c r="J235" s="145"/>
    </row>
    <row r="236" spans="1:10" ht="15" customHeight="1" x14ac:dyDescent="0.2">
      <c r="A236" s="1"/>
      <c r="B236" s="150"/>
      <c r="C236" s="137"/>
      <c r="D236" s="125"/>
      <c r="E236" s="127"/>
      <c r="F236" s="123"/>
      <c r="G236" s="123"/>
      <c r="H236" s="123"/>
      <c r="I236" s="123"/>
      <c r="J236" s="145"/>
    </row>
    <row r="237" spans="1:10" ht="15" customHeight="1" x14ac:dyDescent="0.2">
      <c r="A237" s="1"/>
      <c r="B237" s="191" t="str">
        <f>$B$217 &amp; ".05"</f>
        <v>02.03.01.03.01.05</v>
      </c>
      <c r="C237" s="192" t="s">
        <v>296</v>
      </c>
      <c r="D237" s="202" t="s">
        <v>35</v>
      </c>
      <c r="E237" s="127">
        <v>1</v>
      </c>
      <c r="F237" s="123"/>
      <c r="G237" s="123"/>
      <c r="H237" s="123"/>
      <c r="I237" s="130">
        <f>E237</f>
        <v>1</v>
      </c>
      <c r="J237" s="145">
        <f>+$E$216*I237</f>
        <v>1</v>
      </c>
    </row>
    <row r="238" spans="1:10" ht="15" customHeight="1" x14ac:dyDescent="0.2">
      <c r="A238" s="1"/>
      <c r="B238" s="150"/>
      <c r="C238" s="139" t="s">
        <v>297</v>
      </c>
      <c r="D238" s="125" t="s">
        <v>35</v>
      </c>
      <c r="E238" s="127">
        <v>1</v>
      </c>
      <c r="F238" s="123"/>
      <c r="G238" s="123"/>
      <c r="H238" s="123"/>
      <c r="I238" s="123"/>
      <c r="J238" s="145"/>
    </row>
    <row r="239" spans="1:10" ht="15" customHeight="1" x14ac:dyDescent="0.2">
      <c r="A239" s="1"/>
      <c r="B239" s="150"/>
      <c r="C239" s="137" t="s">
        <v>298</v>
      </c>
      <c r="D239" s="125" t="s">
        <v>35</v>
      </c>
      <c r="E239" s="127">
        <v>1</v>
      </c>
      <c r="F239" s="123"/>
      <c r="G239" s="123"/>
      <c r="H239" s="123"/>
      <c r="I239" s="123"/>
      <c r="J239" s="145"/>
    </row>
    <row r="240" spans="1:10" ht="15" customHeight="1" x14ac:dyDescent="0.2">
      <c r="A240" s="1"/>
      <c r="B240" s="150"/>
      <c r="C240" s="137"/>
      <c r="D240" s="125"/>
      <c r="E240" s="127"/>
      <c r="F240" s="123"/>
      <c r="G240" s="123"/>
      <c r="H240" s="123"/>
      <c r="I240" s="123"/>
      <c r="J240" s="145"/>
    </row>
    <row r="241" spans="1:13" ht="15" customHeight="1" x14ac:dyDescent="0.2">
      <c r="A241" s="1"/>
      <c r="B241" s="191" t="str">
        <f>$B$217 &amp; ".06"</f>
        <v>02.03.01.03.01.06</v>
      </c>
      <c r="C241" s="192" t="s">
        <v>149</v>
      </c>
      <c r="D241" s="202" t="s">
        <v>35</v>
      </c>
      <c r="E241" s="127">
        <v>3</v>
      </c>
      <c r="F241" s="123"/>
      <c r="G241" s="123"/>
      <c r="H241" s="123"/>
      <c r="I241" s="140">
        <f>E241</f>
        <v>3</v>
      </c>
      <c r="J241" s="145">
        <f>+$E$216*I241</f>
        <v>3</v>
      </c>
    </row>
    <row r="242" spans="1:13" ht="15" customHeight="1" x14ac:dyDescent="0.2">
      <c r="A242" s="1"/>
      <c r="B242" s="150"/>
      <c r="C242" s="137" t="s">
        <v>143</v>
      </c>
      <c r="D242" s="125" t="s">
        <v>35</v>
      </c>
      <c r="E242" s="127">
        <v>1</v>
      </c>
      <c r="F242" s="123"/>
      <c r="G242" s="123"/>
      <c r="H242" s="123"/>
      <c r="I242" s="123"/>
      <c r="J242" s="145"/>
    </row>
    <row r="243" spans="1:13" ht="15" customHeight="1" x14ac:dyDescent="0.2">
      <c r="A243" s="1"/>
      <c r="B243" s="150"/>
      <c r="C243" s="137"/>
      <c r="D243" s="125"/>
      <c r="E243" s="127"/>
      <c r="F243" s="123"/>
      <c r="G243" s="123"/>
      <c r="H243" s="123"/>
      <c r="I243" s="123"/>
      <c r="J243" s="145"/>
    </row>
    <row r="244" spans="1:13" ht="15" customHeight="1" x14ac:dyDescent="0.2">
      <c r="A244" s="1"/>
      <c r="B244" s="191" t="str">
        <f>$B$217 &amp; ".07"</f>
        <v>02.03.01.03.01.07</v>
      </c>
      <c r="C244" s="192" t="s">
        <v>148</v>
      </c>
      <c r="D244" s="202" t="s">
        <v>35</v>
      </c>
      <c r="E244" s="127">
        <v>2</v>
      </c>
      <c r="F244" s="123"/>
      <c r="G244" s="123"/>
      <c r="H244" s="123"/>
      <c r="I244" s="140">
        <f>E244</f>
        <v>2</v>
      </c>
      <c r="J244" s="145">
        <f>+$E$216*I244</f>
        <v>2</v>
      </c>
    </row>
    <row r="245" spans="1:13" ht="15" customHeight="1" x14ac:dyDescent="0.2">
      <c r="A245" s="1"/>
      <c r="B245" s="150"/>
      <c r="C245" s="137" t="s">
        <v>143</v>
      </c>
      <c r="D245" s="125" t="s">
        <v>35</v>
      </c>
      <c r="E245" s="127">
        <v>2</v>
      </c>
      <c r="F245" s="123"/>
      <c r="G245" s="123"/>
      <c r="H245" s="123"/>
      <c r="I245" s="123"/>
      <c r="J245" s="145"/>
    </row>
    <row r="246" spans="1:13" ht="15" customHeight="1" x14ac:dyDescent="0.2">
      <c r="A246" s="1"/>
      <c r="B246" s="150"/>
      <c r="C246" s="137"/>
      <c r="D246" s="125"/>
      <c r="E246" s="127"/>
      <c r="F246" s="123"/>
      <c r="G246" s="123"/>
      <c r="H246" s="123"/>
      <c r="I246" s="123"/>
      <c r="J246" s="145"/>
    </row>
    <row r="247" spans="1:13" ht="15" customHeight="1" x14ac:dyDescent="0.2">
      <c r="A247" s="1"/>
      <c r="B247" s="191" t="str">
        <f>$B$217 &amp; ".08"</f>
        <v>02.03.01.03.01.08</v>
      </c>
      <c r="C247" s="192" t="s">
        <v>194</v>
      </c>
      <c r="D247" s="202" t="s">
        <v>35</v>
      </c>
      <c r="E247" s="127">
        <v>1</v>
      </c>
      <c r="F247" s="123"/>
      <c r="G247" s="123"/>
      <c r="H247" s="123"/>
      <c r="I247" s="140">
        <v>1</v>
      </c>
      <c r="J247" s="145">
        <f>+$E$216*I247</f>
        <v>1</v>
      </c>
    </row>
    <row r="248" spans="1:13" ht="15" customHeight="1" x14ac:dyDescent="0.2">
      <c r="A248" s="1"/>
      <c r="B248" s="150"/>
      <c r="C248" s="137" t="s">
        <v>195</v>
      </c>
      <c r="D248" s="202" t="s">
        <v>130</v>
      </c>
      <c r="E248" s="123">
        <v>18.38</v>
      </c>
      <c r="F248" s="123"/>
      <c r="G248" s="123"/>
      <c r="H248" s="123"/>
      <c r="I248" s="123"/>
      <c r="J248" s="145"/>
      <c r="L248">
        <f>17.58+0.8</f>
        <v>18.38</v>
      </c>
    </row>
    <row r="249" spans="1:13" ht="15" customHeight="1" x14ac:dyDescent="0.2">
      <c r="A249" s="1"/>
      <c r="B249" s="150"/>
      <c r="C249" s="137" t="s">
        <v>196</v>
      </c>
      <c r="D249" s="202" t="s">
        <v>130</v>
      </c>
      <c r="E249" s="123">
        <v>7.5</v>
      </c>
      <c r="F249" s="123"/>
      <c r="G249" s="123"/>
      <c r="H249" s="123"/>
      <c r="I249" s="123"/>
      <c r="J249" s="145"/>
      <c r="M249">
        <f>7.5+0.8</f>
        <v>8.3000000000000007</v>
      </c>
    </row>
    <row r="250" spans="1:13" ht="15" customHeight="1" x14ac:dyDescent="0.2">
      <c r="A250" s="1"/>
      <c r="B250" s="150"/>
      <c r="C250" s="137" t="s">
        <v>197</v>
      </c>
      <c r="D250" s="202" t="s">
        <v>35</v>
      </c>
      <c r="E250" s="205">
        <v>7</v>
      </c>
      <c r="F250" s="123"/>
      <c r="G250" s="123"/>
      <c r="H250" s="123"/>
      <c r="I250" s="123"/>
      <c r="J250" s="145"/>
    </row>
    <row r="251" spans="1:13" ht="15" customHeight="1" x14ac:dyDescent="0.2">
      <c r="A251" s="1"/>
      <c r="B251" s="150"/>
      <c r="C251" s="137" t="s">
        <v>299</v>
      </c>
      <c r="D251" s="202" t="s">
        <v>35</v>
      </c>
      <c r="E251" s="205">
        <v>3</v>
      </c>
      <c r="F251" s="123"/>
      <c r="G251" s="123"/>
      <c r="H251" s="123"/>
      <c r="I251" s="123"/>
      <c r="J251" s="145"/>
    </row>
    <row r="252" spans="1:13" ht="15" customHeight="1" x14ac:dyDescent="0.2">
      <c r="A252" s="1"/>
      <c r="B252" s="150"/>
      <c r="C252" s="137" t="s">
        <v>300</v>
      </c>
      <c r="D252" s="202" t="s">
        <v>35</v>
      </c>
      <c r="E252" s="205">
        <v>2</v>
      </c>
      <c r="F252" s="123"/>
      <c r="G252" s="123"/>
      <c r="H252" s="123"/>
      <c r="I252" s="123"/>
      <c r="J252" s="145"/>
    </row>
    <row r="253" spans="1:13" ht="15" customHeight="1" x14ac:dyDescent="0.2">
      <c r="A253" s="1"/>
      <c r="B253" s="150"/>
      <c r="C253" s="137" t="s">
        <v>301</v>
      </c>
      <c r="D253" s="202" t="s">
        <v>35</v>
      </c>
      <c r="E253" s="205">
        <v>3</v>
      </c>
      <c r="F253" s="123"/>
      <c r="G253" s="123"/>
      <c r="H253" s="123"/>
      <c r="I253" s="123"/>
      <c r="J253" s="145"/>
    </row>
    <row r="254" spans="1:13" ht="15" customHeight="1" x14ac:dyDescent="0.2">
      <c r="A254" s="1"/>
      <c r="B254" s="150"/>
      <c r="C254" s="137" t="s">
        <v>302</v>
      </c>
      <c r="D254" s="202" t="s">
        <v>35</v>
      </c>
      <c r="E254" s="205">
        <v>1</v>
      </c>
      <c r="F254" s="123"/>
      <c r="G254" s="123"/>
      <c r="H254" s="123"/>
      <c r="I254" s="123"/>
      <c r="J254" s="145"/>
    </row>
    <row r="255" spans="1:13" ht="15" customHeight="1" x14ac:dyDescent="0.2">
      <c r="A255" s="1"/>
      <c r="B255" s="150"/>
      <c r="C255" s="137" t="s">
        <v>303</v>
      </c>
      <c r="D255" s="202" t="s">
        <v>35</v>
      </c>
      <c r="E255" s="205">
        <v>22</v>
      </c>
      <c r="F255" s="123"/>
      <c r="G255" s="123"/>
      <c r="H255" s="123"/>
      <c r="I255" s="123"/>
      <c r="J255" s="145"/>
    </row>
    <row r="256" spans="1:13" ht="15" customHeight="1" x14ac:dyDescent="0.2">
      <c r="A256" s="1"/>
      <c r="B256" s="150"/>
      <c r="C256" s="137" t="s">
        <v>304</v>
      </c>
      <c r="D256" s="202" t="s">
        <v>35</v>
      </c>
      <c r="E256" s="205">
        <v>6</v>
      </c>
      <c r="F256" s="123"/>
      <c r="G256" s="123"/>
      <c r="H256" s="123"/>
      <c r="I256" s="123"/>
      <c r="J256" s="145"/>
    </row>
    <row r="257" spans="1:10" ht="15" customHeight="1" x14ac:dyDescent="0.2">
      <c r="A257" s="1"/>
      <c r="B257" s="150"/>
      <c r="C257" s="137"/>
      <c r="D257" s="202"/>
      <c r="E257" s="205"/>
      <c r="F257" s="123"/>
      <c r="G257" s="123"/>
      <c r="H257" s="123"/>
      <c r="I257" s="123"/>
      <c r="J257" s="145"/>
    </row>
    <row r="258" spans="1:10" ht="15" customHeight="1" x14ac:dyDescent="0.2">
      <c r="A258" s="1"/>
      <c r="B258" s="245" t="str">
        <f>$B$216 &amp; ".02"</f>
        <v>02.03.01.03.02</v>
      </c>
      <c r="C258" s="255" t="s">
        <v>45</v>
      </c>
      <c r="D258" s="128"/>
      <c r="E258" s="126">
        <f>E216</f>
        <v>1</v>
      </c>
      <c r="F258" s="123"/>
      <c r="G258" s="140"/>
      <c r="H258" s="123"/>
      <c r="I258" s="123"/>
      <c r="J258" s="145"/>
    </row>
    <row r="259" spans="1:10" ht="13.5" x14ac:dyDescent="0.2">
      <c r="A259" s="1"/>
      <c r="B259" s="191" t="str">
        <f>$B$258 &amp; ".01"</f>
        <v>02.03.01.03.02.01</v>
      </c>
      <c r="C259" s="192" t="s">
        <v>147</v>
      </c>
      <c r="D259" s="125" t="s">
        <v>35</v>
      </c>
      <c r="E259" s="167">
        <v>3</v>
      </c>
      <c r="F259" s="123"/>
      <c r="G259" s="123"/>
      <c r="H259" s="123"/>
      <c r="I259" s="140">
        <f>E259</f>
        <v>3</v>
      </c>
      <c r="J259" s="145">
        <f>+$E$258*I259</f>
        <v>3</v>
      </c>
    </row>
    <row r="260" spans="1:10" ht="13.5" x14ac:dyDescent="0.2">
      <c r="A260" s="1"/>
      <c r="B260" s="191"/>
      <c r="C260" s="192"/>
      <c r="D260" s="125"/>
      <c r="E260" s="167"/>
      <c r="F260" s="123"/>
      <c r="G260" s="123"/>
      <c r="H260" s="123"/>
      <c r="I260" s="140"/>
      <c r="J260" s="145"/>
    </row>
    <row r="261" spans="1:10" ht="15" customHeight="1" x14ac:dyDescent="0.2">
      <c r="A261" s="1"/>
      <c r="B261" s="191" t="str">
        <f>$B$258 &amp; ".02"</f>
        <v>02.03.01.03.02.02</v>
      </c>
      <c r="C261" s="192" t="s">
        <v>379</v>
      </c>
      <c r="D261" s="125" t="s">
        <v>35</v>
      </c>
      <c r="E261" s="167">
        <v>3</v>
      </c>
      <c r="F261" s="123"/>
      <c r="G261" s="123"/>
      <c r="H261" s="123"/>
      <c r="I261" s="140">
        <f>E261</f>
        <v>3</v>
      </c>
      <c r="J261" s="145">
        <f>+$E$258*I261</f>
        <v>3</v>
      </c>
    </row>
    <row r="262" spans="1:10" ht="15" customHeight="1" x14ac:dyDescent="0.2">
      <c r="A262" s="1"/>
      <c r="B262" s="191"/>
      <c r="C262" s="192"/>
      <c r="D262" s="125"/>
      <c r="E262" s="167"/>
      <c r="F262" s="123"/>
      <c r="G262" s="123"/>
      <c r="H262" s="123"/>
      <c r="I262" s="140"/>
      <c r="J262" s="145"/>
    </row>
    <row r="263" spans="1:10" s="120" customFormat="1" ht="15" customHeight="1" x14ac:dyDescent="0.2">
      <c r="A263" s="119"/>
      <c r="B263" s="191" t="str">
        <f>$B$258 &amp; ".03"</f>
        <v>02.03.01.03.02.03</v>
      </c>
      <c r="C263" s="192" t="s">
        <v>146</v>
      </c>
      <c r="D263" s="128" t="s">
        <v>35</v>
      </c>
      <c r="E263" s="167">
        <v>3</v>
      </c>
      <c r="F263" s="123"/>
      <c r="G263" s="123"/>
      <c r="H263" s="123"/>
      <c r="I263" s="140">
        <f>E263</f>
        <v>3</v>
      </c>
      <c r="J263" s="145">
        <f>+$E$258*I263</f>
        <v>3</v>
      </c>
    </row>
    <row r="264" spans="1:10" ht="15" customHeight="1" x14ac:dyDescent="0.2">
      <c r="A264" s="1"/>
      <c r="B264" s="150"/>
      <c r="C264" s="173"/>
      <c r="D264" s="128"/>
      <c r="E264" s="167"/>
      <c r="F264" s="123"/>
      <c r="G264" s="123"/>
      <c r="H264" s="123"/>
      <c r="I264" s="123"/>
      <c r="J264" s="145"/>
    </row>
    <row r="265" spans="1:10" ht="15" customHeight="1" x14ac:dyDescent="0.2">
      <c r="A265" s="1"/>
      <c r="B265" s="245" t="str">
        <f>$B$216 &amp; ".03"</f>
        <v>02.03.01.03.03</v>
      </c>
      <c r="C265" s="246" t="s">
        <v>140</v>
      </c>
      <c r="D265" s="128"/>
      <c r="E265" s="126">
        <f>E258</f>
        <v>1</v>
      </c>
      <c r="F265" s="123"/>
      <c r="G265" s="123"/>
      <c r="H265" s="123"/>
      <c r="I265" s="123"/>
      <c r="J265" s="145"/>
    </row>
    <row r="266" spans="1:10" ht="15" customHeight="1" x14ac:dyDescent="0.2">
      <c r="A266" s="1"/>
      <c r="B266" s="191" t="str">
        <f>$B$265&amp; ".01"</f>
        <v>02.03.01.03.03.01</v>
      </c>
      <c r="C266" s="192" t="s">
        <v>145</v>
      </c>
      <c r="D266" s="204" t="s">
        <v>35</v>
      </c>
      <c r="E266" s="167">
        <v>3</v>
      </c>
      <c r="F266" s="123"/>
      <c r="G266" s="123"/>
      <c r="H266" s="123"/>
      <c r="I266" s="140">
        <f>E266</f>
        <v>3</v>
      </c>
      <c r="J266" s="145">
        <f>+$E$258*I266</f>
        <v>3</v>
      </c>
    </row>
    <row r="267" spans="1:10" ht="15" customHeight="1" x14ac:dyDescent="0.2">
      <c r="A267" s="1"/>
      <c r="B267" s="150"/>
      <c r="C267" s="137" t="s">
        <v>309</v>
      </c>
      <c r="D267" s="128" t="s">
        <v>35</v>
      </c>
      <c r="E267" s="167">
        <v>2</v>
      </c>
      <c r="F267" s="123"/>
      <c r="G267" s="123"/>
      <c r="H267" s="123"/>
      <c r="I267" s="123"/>
      <c r="J267" s="145"/>
    </row>
    <row r="268" spans="1:10" ht="15" customHeight="1" x14ac:dyDescent="0.2">
      <c r="A268" s="1"/>
      <c r="B268" s="150"/>
      <c r="C268" s="137" t="s">
        <v>313</v>
      </c>
      <c r="D268" s="128" t="s">
        <v>35</v>
      </c>
      <c r="E268" s="167">
        <v>2</v>
      </c>
      <c r="F268" s="123"/>
      <c r="G268" s="123"/>
      <c r="H268" s="123"/>
      <c r="I268" s="123"/>
      <c r="J268" s="145"/>
    </row>
    <row r="269" spans="1:10" ht="15" customHeight="1" x14ac:dyDescent="0.2">
      <c r="A269" s="1"/>
      <c r="B269" s="150"/>
      <c r="C269" s="137" t="s">
        <v>198</v>
      </c>
      <c r="D269" s="128" t="s">
        <v>35</v>
      </c>
      <c r="E269" s="167">
        <v>1</v>
      </c>
      <c r="F269" s="123"/>
      <c r="G269" s="123"/>
      <c r="H269" s="123"/>
      <c r="I269" s="123"/>
      <c r="J269" s="145"/>
    </row>
    <row r="270" spans="1:10" ht="15" customHeight="1" x14ac:dyDescent="0.2">
      <c r="A270" s="1"/>
      <c r="B270" s="150"/>
      <c r="C270" s="137"/>
      <c r="D270" s="128"/>
      <c r="E270" s="167"/>
      <c r="F270" s="123"/>
      <c r="G270" s="123"/>
      <c r="H270" s="123"/>
      <c r="I270" s="123"/>
      <c r="J270" s="145"/>
    </row>
    <row r="271" spans="1:10" ht="13.9" customHeight="1" x14ac:dyDescent="0.2">
      <c r="A271" s="1"/>
      <c r="B271" s="191" t="str">
        <f>$B$265&amp; ".03"</f>
        <v>02.03.01.03.03.03</v>
      </c>
      <c r="C271" s="192" t="s">
        <v>144</v>
      </c>
      <c r="D271" s="128" t="s">
        <v>35</v>
      </c>
      <c r="E271" s="167">
        <v>3</v>
      </c>
      <c r="F271" s="123"/>
      <c r="G271" s="123"/>
      <c r="H271" s="123"/>
      <c r="I271" s="140">
        <f>E271</f>
        <v>3</v>
      </c>
      <c r="J271" s="145">
        <f>+$E$258*I271</f>
        <v>3</v>
      </c>
    </row>
    <row r="272" spans="1:10" ht="13.9" customHeight="1" x14ac:dyDescent="0.2">
      <c r="A272" s="1"/>
      <c r="B272" s="150"/>
      <c r="C272" s="137" t="s">
        <v>309</v>
      </c>
      <c r="D272" s="128" t="s">
        <v>35</v>
      </c>
      <c r="E272" s="167">
        <v>2</v>
      </c>
      <c r="F272" s="123"/>
      <c r="G272" s="123"/>
      <c r="H272" s="123"/>
      <c r="I272" s="123"/>
      <c r="J272" s="145"/>
    </row>
    <row r="273" spans="1:10" ht="13.9" customHeight="1" x14ac:dyDescent="0.2">
      <c r="A273" s="1"/>
      <c r="B273" s="150"/>
      <c r="C273" s="137" t="s">
        <v>313</v>
      </c>
      <c r="D273" s="128" t="s">
        <v>35</v>
      </c>
      <c r="E273" s="167">
        <v>2</v>
      </c>
      <c r="F273" s="123"/>
      <c r="G273" s="123"/>
      <c r="H273" s="123"/>
      <c r="I273" s="123"/>
      <c r="J273" s="145"/>
    </row>
    <row r="274" spans="1:10" ht="13.9" customHeight="1" x14ac:dyDescent="0.2">
      <c r="A274" s="1"/>
      <c r="B274" s="150"/>
      <c r="C274" s="137"/>
      <c r="D274" s="128"/>
      <c r="E274" s="167"/>
      <c r="F274" s="123"/>
      <c r="G274" s="123"/>
      <c r="H274" s="123"/>
      <c r="I274" s="123"/>
      <c r="J274" s="145"/>
    </row>
    <row r="275" spans="1:10" ht="17.25" customHeight="1" x14ac:dyDescent="0.2">
      <c r="A275" s="1"/>
      <c r="B275" s="191" t="str">
        <f>$B$265&amp; ".05"</f>
        <v>02.03.01.03.03.05</v>
      </c>
      <c r="C275" s="188" t="s">
        <v>322</v>
      </c>
      <c r="D275" s="128"/>
      <c r="E275" s="167">
        <v>1</v>
      </c>
      <c r="F275" s="123"/>
      <c r="G275" s="123"/>
      <c r="H275" s="123"/>
      <c r="I275" s="140">
        <f>E275</f>
        <v>1</v>
      </c>
      <c r="J275" s="145">
        <f>+$E$258*I275</f>
        <v>1</v>
      </c>
    </row>
    <row r="276" spans="1:10" ht="15" customHeight="1" x14ac:dyDescent="0.2">
      <c r="A276" s="1"/>
      <c r="B276" s="150"/>
      <c r="C276" s="137" t="s">
        <v>312</v>
      </c>
      <c r="D276" s="128" t="s">
        <v>35</v>
      </c>
      <c r="E276" s="167">
        <v>1</v>
      </c>
      <c r="F276" s="123">
        <v>6</v>
      </c>
      <c r="G276" s="123"/>
      <c r="H276" s="123"/>
      <c r="I276" s="123"/>
      <c r="J276" s="145"/>
    </row>
    <row r="277" spans="1:10" ht="15" customHeight="1" x14ac:dyDescent="0.2">
      <c r="A277" s="1"/>
      <c r="B277" s="150"/>
      <c r="C277" s="137" t="s">
        <v>199</v>
      </c>
      <c r="D277" s="128" t="s">
        <v>35</v>
      </c>
      <c r="E277" s="167">
        <v>1</v>
      </c>
      <c r="F277" s="123">
        <v>23</v>
      </c>
      <c r="G277" s="123"/>
      <c r="H277" s="123"/>
      <c r="I277" s="123"/>
      <c r="J277" s="145"/>
    </row>
    <row r="278" spans="1:10" ht="15" customHeight="1" x14ac:dyDescent="0.2">
      <c r="A278" s="1"/>
      <c r="B278" s="162"/>
      <c r="C278" s="137" t="s">
        <v>306</v>
      </c>
      <c r="D278" s="128" t="s">
        <v>35</v>
      </c>
      <c r="E278" s="167">
        <v>1</v>
      </c>
      <c r="F278" s="123">
        <v>3</v>
      </c>
      <c r="G278" s="140"/>
      <c r="H278" s="123"/>
      <c r="I278" s="123"/>
      <c r="J278" s="145"/>
    </row>
    <row r="279" spans="1:10" ht="15" customHeight="1" x14ac:dyDescent="0.25">
      <c r="A279" s="1"/>
      <c r="B279" s="150"/>
      <c r="C279" s="138" t="s">
        <v>311</v>
      </c>
      <c r="D279" s="128" t="s">
        <v>29</v>
      </c>
      <c r="E279" s="167">
        <v>1</v>
      </c>
      <c r="F279" s="123">
        <v>6</v>
      </c>
      <c r="G279" s="123"/>
      <c r="H279" s="123"/>
      <c r="I279" s="123"/>
      <c r="J279" s="145"/>
    </row>
    <row r="280" spans="1:10" ht="15" customHeight="1" x14ac:dyDescent="0.2">
      <c r="A280" s="1"/>
      <c r="B280" s="150"/>
      <c r="C280" s="137" t="s">
        <v>310</v>
      </c>
      <c r="D280" s="128" t="s">
        <v>35</v>
      </c>
      <c r="E280" s="167">
        <v>1</v>
      </c>
      <c r="F280" s="123">
        <v>30</v>
      </c>
      <c r="G280" s="123"/>
      <c r="H280" s="123"/>
      <c r="I280" s="123"/>
      <c r="J280" s="145"/>
    </row>
    <row r="281" spans="1:10" ht="15" customHeight="1" x14ac:dyDescent="0.2">
      <c r="A281" s="1"/>
      <c r="B281" s="150"/>
      <c r="C281" s="137" t="s">
        <v>309</v>
      </c>
      <c r="D281" s="128" t="s">
        <v>35</v>
      </c>
      <c r="E281" s="167">
        <v>1</v>
      </c>
      <c r="F281" s="123">
        <v>6</v>
      </c>
      <c r="G281" s="123"/>
      <c r="H281" s="123"/>
      <c r="I281" s="123"/>
      <c r="J281" s="145"/>
    </row>
    <row r="282" spans="1:10" ht="15" customHeight="1" x14ac:dyDescent="0.2">
      <c r="A282" s="1"/>
      <c r="B282" s="150"/>
      <c r="C282" s="137" t="s">
        <v>308</v>
      </c>
      <c r="D282" s="128" t="s">
        <v>35</v>
      </c>
      <c r="E282" s="167">
        <v>1</v>
      </c>
      <c r="F282" s="123">
        <v>7</v>
      </c>
      <c r="G282" s="123"/>
      <c r="H282" s="123"/>
      <c r="I282" s="123"/>
      <c r="J282" s="145"/>
    </row>
    <row r="283" spans="1:10" ht="15.75" customHeight="1" x14ac:dyDescent="0.2">
      <c r="A283" s="1"/>
      <c r="B283" s="150"/>
      <c r="C283" s="137" t="s">
        <v>200</v>
      </c>
      <c r="D283" s="128" t="s">
        <v>35</v>
      </c>
      <c r="E283" s="167">
        <v>1</v>
      </c>
      <c r="F283" s="123">
        <v>3</v>
      </c>
      <c r="G283" s="123"/>
      <c r="H283" s="123"/>
      <c r="I283" s="123"/>
      <c r="J283" s="145"/>
    </row>
    <row r="284" spans="1:10" ht="15.75" customHeight="1" x14ac:dyDescent="0.25">
      <c r="A284" s="1"/>
      <c r="B284" s="150"/>
      <c r="C284" s="138" t="s">
        <v>307</v>
      </c>
      <c r="D284" s="131" t="s">
        <v>35</v>
      </c>
      <c r="E284" s="167">
        <v>1</v>
      </c>
      <c r="F284" s="123">
        <v>6</v>
      </c>
      <c r="G284" s="123"/>
      <c r="H284" s="123"/>
      <c r="I284" s="123"/>
      <c r="J284" s="145"/>
    </row>
    <row r="285" spans="1:10" ht="15.75" customHeight="1" x14ac:dyDescent="0.25">
      <c r="A285" s="1"/>
      <c r="B285" s="150"/>
      <c r="C285" s="138"/>
      <c r="D285" s="131"/>
      <c r="E285" s="167"/>
      <c r="F285" s="123"/>
      <c r="G285" s="123"/>
      <c r="H285" s="175"/>
      <c r="I285" s="123"/>
      <c r="J285" s="145"/>
    </row>
    <row r="286" spans="1:10" ht="15.75" customHeight="1" x14ac:dyDescent="0.2">
      <c r="A286" s="1"/>
      <c r="B286" s="191" t="str">
        <f>$B$265&amp; ".06"</f>
        <v>02.03.01.03.03.06</v>
      </c>
      <c r="C286" s="188" t="s">
        <v>273</v>
      </c>
      <c r="D286" s="203" t="s">
        <v>29</v>
      </c>
      <c r="E286" s="167"/>
      <c r="F286" s="123"/>
      <c r="G286" s="123"/>
      <c r="H286" s="175"/>
      <c r="I286" s="140">
        <f>I287</f>
        <v>23</v>
      </c>
      <c r="J286" s="145">
        <f>+$E$265*I286</f>
        <v>23</v>
      </c>
    </row>
    <row r="287" spans="1:10" ht="15.75" customHeight="1" x14ac:dyDescent="0.2">
      <c r="A287" s="1"/>
      <c r="B287" s="191"/>
      <c r="C287" s="188"/>
      <c r="D287" s="203"/>
      <c r="E287" s="167">
        <v>23</v>
      </c>
      <c r="F287" s="123"/>
      <c r="G287" s="123"/>
      <c r="H287" s="175"/>
      <c r="I287" s="123">
        <f>E287</f>
        <v>23</v>
      </c>
      <c r="J287" s="145"/>
    </row>
    <row r="288" spans="1:10" ht="15.75" customHeight="1" x14ac:dyDescent="0.2">
      <c r="A288" s="119"/>
      <c r="B288" s="150"/>
      <c r="C288" s="174"/>
      <c r="D288" s="131"/>
      <c r="E288" s="167"/>
      <c r="F288" s="123"/>
      <c r="G288" s="123"/>
      <c r="H288" s="175"/>
      <c r="I288" s="123"/>
      <c r="J288" s="145"/>
    </row>
    <row r="289" spans="1:10" ht="15.75" customHeight="1" x14ac:dyDescent="0.2">
      <c r="A289" s="119"/>
      <c r="B289" s="245" t="str">
        <f>$B$216 &amp; ".04"</f>
        <v>02.03.01.03.04</v>
      </c>
      <c r="C289" s="246" t="s">
        <v>128</v>
      </c>
      <c r="D289" s="129"/>
      <c r="E289" s="126">
        <f>E265</f>
        <v>1</v>
      </c>
      <c r="F289" s="123"/>
      <c r="G289" s="140"/>
      <c r="H289" s="123"/>
      <c r="I289" s="123"/>
      <c r="J289" s="145"/>
    </row>
    <row r="290" spans="1:10" ht="15" customHeight="1" x14ac:dyDescent="0.2">
      <c r="A290" s="119"/>
      <c r="B290" s="191" t="str">
        <f>$B$289 &amp; ".01"</f>
        <v>02.03.01.03.04.01</v>
      </c>
      <c r="C290" s="192" t="s">
        <v>131</v>
      </c>
      <c r="D290" s="129" t="s">
        <v>130</v>
      </c>
      <c r="E290" s="167"/>
      <c r="F290" s="123"/>
      <c r="G290" s="123"/>
      <c r="H290" s="123"/>
      <c r="I290" s="130">
        <f>F291</f>
        <v>12</v>
      </c>
      <c r="J290" s="145">
        <f>+$E$289*I290</f>
        <v>12</v>
      </c>
    </row>
    <row r="291" spans="1:10" ht="15" customHeight="1" x14ac:dyDescent="0.2">
      <c r="A291" s="119"/>
      <c r="B291" s="150"/>
      <c r="C291" s="193"/>
      <c r="D291" s="129"/>
      <c r="E291" s="167">
        <v>1</v>
      </c>
      <c r="F291" s="123">
        <v>12</v>
      </c>
      <c r="G291" s="123"/>
      <c r="H291" s="123"/>
      <c r="I291" s="123"/>
      <c r="J291" s="176"/>
    </row>
    <row r="292" spans="1:10" ht="15" customHeight="1" x14ac:dyDescent="0.2">
      <c r="A292" s="119"/>
      <c r="B292" s="191" t="str">
        <f>$B$289 &amp; ".02"</f>
        <v>02.03.01.03.04.02</v>
      </c>
      <c r="C292" s="192" t="s">
        <v>129</v>
      </c>
      <c r="D292" s="129" t="s">
        <v>130</v>
      </c>
      <c r="E292" s="141"/>
      <c r="F292" s="123"/>
      <c r="G292" s="123"/>
      <c r="H292" s="123"/>
      <c r="I292" s="130">
        <f>F293</f>
        <v>24</v>
      </c>
      <c r="J292" s="145">
        <f>+$E$289*I292</f>
        <v>24</v>
      </c>
    </row>
    <row r="293" spans="1:10" ht="15" customHeight="1" x14ac:dyDescent="0.2">
      <c r="A293" s="119"/>
      <c r="B293" s="150"/>
      <c r="C293" s="137"/>
      <c r="D293" s="129"/>
      <c r="E293" s="167">
        <v>1</v>
      </c>
      <c r="F293" s="123">
        <f>F291*2</f>
        <v>24</v>
      </c>
      <c r="G293" s="175"/>
      <c r="H293" s="123"/>
      <c r="I293" s="123"/>
      <c r="J293" s="176"/>
    </row>
    <row r="294" spans="1:10" ht="15" customHeight="1" x14ac:dyDescent="0.2">
      <c r="A294" s="119"/>
      <c r="B294" s="191" t="str">
        <f>$B$289 &amp; ".03"</f>
        <v>02.03.01.03.04.03</v>
      </c>
      <c r="C294" s="192" t="s">
        <v>137</v>
      </c>
      <c r="D294" s="129" t="s">
        <v>35</v>
      </c>
      <c r="E294" s="167"/>
      <c r="F294" s="175"/>
      <c r="G294" s="123"/>
      <c r="H294" s="123"/>
      <c r="I294" s="130">
        <f>F295</f>
        <v>4</v>
      </c>
      <c r="J294" s="145">
        <f>+$E$289*I294</f>
        <v>4</v>
      </c>
    </row>
    <row r="295" spans="1:10" ht="15" customHeight="1" x14ac:dyDescent="0.2">
      <c r="A295" s="119"/>
      <c r="B295" s="150"/>
      <c r="C295" s="137"/>
      <c r="D295" s="131"/>
      <c r="E295" s="167">
        <v>1</v>
      </c>
      <c r="F295" s="123">
        <v>4</v>
      </c>
      <c r="G295" s="123"/>
      <c r="H295" s="123"/>
      <c r="I295" s="123"/>
      <c r="J295" s="176"/>
    </row>
    <row r="296" spans="1:10" ht="15" customHeight="1" x14ac:dyDescent="0.2">
      <c r="A296" s="119"/>
      <c r="B296" s="191" t="str">
        <f>$B$289 &amp; ".04"</f>
        <v>02.03.01.03.04.04</v>
      </c>
      <c r="C296" s="192" t="s">
        <v>204</v>
      </c>
      <c r="D296" s="131" t="s">
        <v>35</v>
      </c>
      <c r="E296" s="167"/>
      <c r="F296" s="123"/>
      <c r="G296" s="123"/>
      <c r="H296" s="123"/>
      <c r="I296" s="130">
        <f>F297</f>
        <v>5</v>
      </c>
      <c r="J296" s="145">
        <f>+$E$289*I296</f>
        <v>5</v>
      </c>
    </row>
    <row r="297" spans="1:10" ht="15" customHeight="1" x14ac:dyDescent="0.2">
      <c r="A297" s="119"/>
      <c r="B297" s="150"/>
      <c r="C297" s="194"/>
      <c r="D297" s="131"/>
      <c r="E297" s="167">
        <v>1</v>
      </c>
      <c r="F297" s="123">
        <v>5</v>
      </c>
      <c r="G297" s="123"/>
      <c r="H297" s="123"/>
      <c r="I297" s="123"/>
      <c r="J297" s="176"/>
    </row>
    <row r="298" spans="1:10" ht="15" customHeight="1" x14ac:dyDescent="0.2">
      <c r="A298" s="119"/>
      <c r="B298" s="150" t="str">
        <f>$B$289 &amp; ".05"</f>
        <v>02.03.01.03.04.05</v>
      </c>
      <c r="C298" s="194" t="s">
        <v>201</v>
      </c>
      <c r="D298" s="203" t="s">
        <v>35</v>
      </c>
      <c r="E298" s="167"/>
      <c r="F298" s="123"/>
      <c r="G298" s="123"/>
      <c r="H298" s="123"/>
      <c r="I298" s="130">
        <f>F299</f>
        <v>1</v>
      </c>
      <c r="J298" s="145">
        <f>+$E$289*I298</f>
        <v>1</v>
      </c>
    </row>
    <row r="299" spans="1:10" ht="15" customHeight="1" x14ac:dyDescent="0.2">
      <c r="A299" s="119"/>
      <c r="B299" s="150"/>
      <c r="C299" s="207" t="s">
        <v>202</v>
      </c>
      <c r="D299" s="203"/>
      <c r="E299" s="167">
        <v>1</v>
      </c>
      <c r="F299" s="123">
        <v>1</v>
      </c>
      <c r="G299" s="123"/>
      <c r="H299" s="123"/>
      <c r="I299" s="130"/>
      <c r="J299" s="197"/>
    </row>
    <row r="300" spans="1:10" ht="15" customHeight="1" x14ac:dyDescent="0.2">
      <c r="A300" s="119"/>
      <c r="B300" s="150"/>
      <c r="C300" s="207" t="s">
        <v>203</v>
      </c>
      <c r="D300" s="203"/>
      <c r="E300" s="167">
        <v>1</v>
      </c>
      <c r="F300" s="123">
        <v>1</v>
      </c>
      <c r="G300" s="123"/>
      <c r="H300" s="123"/>
      <c r="I300" s="130"/>
      <c r="J300" s="197"/>
    </row>
    <row r="301" spans="1:10" ht="15" customHeight="1" x14ac:dyDescent="0.2">
      <c r="A301" s="119"/>
      <c r="B301" s="195"/>
      <c r="C301" s="196"/>
      <c r="D301" s="142"/>
      <c r="E301" s="177"/>
      <c r="F301" s="178"/>
      <c r="G301" s="178"/>
      <c r="H301" s="178"/>
      <c r="I301" s="178"/>
      <c r="J301" s="206"/>
    </row>
    <row r="302" spans="1:10" ht="15.6" customHeight="1" x14ac:dyDescent="0.2">
      <c r="A302" s="1"/>
      <c r="B302" s="150"/>
      <c r="C302" s="179"/>
      <c r="D302" s="179"/>
      <c r="E302" s="180"/>
      <c r="F302" s="180"/>
      <c r="G302" s="179"/>
      <c r="H302" s="179"/>
      <c r="I302" s="179"/>
      <c r="J302" s="179"/>
    </row>
    <row r="303" spans="1:10" ht="15.75" customHeight="1" x14ac:dyDescent="0.2">
      <c r="A303" s="1"/>
      <c r="B303" s="150"/>
      <c r="C303" s="179"/>
      <c r="D303" s="179"/>
      <c r="E303" s="180"/>
      <c r="F303" s="180"/>
      <c r="G303" s="179"/>
      <c r="H303" s="179"/>
      <c r="I303" s="179"/>
      <c r="J303" s="179"/>
    </row>
    <row r="304" spans="1:10" ht="15.75" customHeight="1" x14ac:dyDescent="0.2">
      <c r="A304" s="1"/>
      <c r="B304" s="150"/>
      <c r="C304" s="179"/>
      <c r="D304" s="179"/>
      <c r="E304" s="180"/>
      <c r="F304" s="180"/>
      <c r="G304" s="179"/>
      <c r="H304" s="179"/>
      <c r="I304" s="179"/>
      <c r="J304" s="179"/>
    </row>
    <row r="305" spans="1:10" ht="15.75" customHeight="1" x14ac:dyDescent="0.2">
      <c r="A305" s="1"/>
      <c r="B305" s="150"/>
      <c r="C305" s="179"/>
      <c r="D305" s="179"/>
      <c r="E305" s="180"/>
      <c r="F305" s="180"/>
      <c r="G305" s="179"/>
      <c r="H305" s="179"/>
      <c r="I305" s="179"/>
      <c r="J305" s="179"/>
    </row>
    <row r="306" spans="1:10" ht="15.75" customHeight="1" x14ac:dyDescent="0.2">
      <c r="A306" s="1"/>
      <c r="B306" s="150"/>
      <c r="C306" s="116"/>
      <c r="D306" s="179"/>
      <c r="E306" s="180"/>
      <c r="F306" s="180"/>
      <c r="G306" s="179"/>
      <c r="H306" s="179"/>
      <c r="I306" s="179"/>
      <c r="J306" s="179"/>
    </row>
    <row r="307" spans="1:10" ht="15.75" customHeight="1" x14ac:dyDescent="0.2">
      <c r="A307" s="1"/>
      <c r="B307" s="150"/>
      <c r="C307" s="179"/>
      <c r="D307" s="179"/>
      <c r="E307" s="180"/>
      <c r="F307" s="180"/>
      <c r="G307" s="179"/>
      <c r="H307" s="179"/>
      <c r="I307" s="179"/>
      <c r="J307" s="179"/>
    </row>
    <row r="308" spans="1:10" ht="15.75" customHeight="1" x14ac:dyDescent="0.2">
      <c r="A308" s="1"/>
      <c r="B308" s="150"/>
      <c r="C308" s="179"/>
      <c r="D308" s="179"/>
      <c r="E308" s="180"/>
      <c r="F308" s="180"/>
      <c r="G308" s="179"/>
      <c r="H308" s="179"/>
      <c r="I308" s="179"/>
      <c r="J308" s="179"/>
    </row>
    <row r="309" spans="1:10" ht="15.75" customHeight="1" x14ac:dyDescent="0.2">
      <c r="A309" s="1"/>
      <c r="B309" s="150"/>
      <c r="C309" s="179"/>
      <c r="D309" s="179"/>
      <c r="E309" s="180"/>
      <c r="F309" s="180"/>
      <c r="G309" s="179"/>
      <c r="H309" s="179"/>
      <c r="I309" s="179"/>
      <c r="J309" s="179"/>
    </row>
    <row r="310" spans="1:10" ht="15.75" customHeight="1" x14ac:dyDescent="0.2">
      <c r="A310" s="1"/>
      <c r="B310" s="150"/>
      <c r="C310" s="179"/>
      <c r="D310" s="179"/>
      <c r="E310" s="180"/>
      <c r="F310" s="180"/>
      <c r="G310" s="179"/>
      <c r="H310" s="179"/>
      <c r="I310" s="179"/>
      <c r="J310" s="179"/>
    </row>
    <row r="311" spans="1:10" ht="15.75" customHeight="1" x14ac:dyDescent="0.2">
      <c r="A311" s="1"/>
      <c r="B311" s="150"/>
      <c r="C311" s="179"/>
      <c r="D311" s="179"/>
      <c r="E311" s="180"/>
      <c r="F311" s="180"/>
      <c r="G311" s="179"/>
      <c r="H311" s="179"/>
      <c r="I311" s="179"/>
      <c r="J311" s="179"/>
    </row>
    <row r="312" spans="1:10" ht="15.75" customHeight="1" x14ac:dyDescent="0.2">
      <c r="A312" s="1"/>
      <c r="B312" s="150"/>
      <c r="C312" s="179"/>
      <c r="D312" s="179"/>
      <c r="E312" s="180"/>
      <c r="F312" s="180"/>
      <c r="G312" s="179"/>
      <c r="H312" s="179"/>
      <c r="I312" s="179"/>
      <c r="J312" s="179"/>
    </row>
    <row r="313" spans="1:10" ht="15.75" customHeight="1" x14ac:dyDescent="0.2">
      <c r="A313" s="1"/>
      <c r="B313" s="150"/>
      <c r="C313" s="179"/>
      <c r="D313" s="179"/>
      <c r="E313" s="180"/>
      <c r="F313" s="180"/>
      <c r="G313" s="179"/>
      <c r="H313" s="179"/>
      <c r="I313" s="179"/>
      <c r="J313" s="179"/>
    </row>
    <row r="314" spans="1:10" ht="15.75" customHeight="1" x14ac:dyDescent="0.2">
      <c r="A314" s="1"/>
      <c r="B314" s="150"/>
      <c r="C314" s="179"/>
      <c r="D314" s="179"/>
      <c r="E314" s="180"/>
      <c r="F314" s="180"/>
      <c r="G314" s="179"/>
      <c r="H314" s="179"/>
      <c r="I314" s="179"/>
      <c r="J314" s="179"/>
    </row>
    <row r="315" spans="1:10" ht="15.75" customHeight="1" x14ac:dyDescent="0.2">
      <c r="A315" s="1"/>
      <c r="B315" s="150"/>
      <c r="C315" s="179"/>
      <c r="D315" s="179"/>
      <c r="E315" s="180"/>
      <c r="F315" s="180"/>
      <c r="G315" s="179"/>
      <c r="H315" s="179"/>
      <c r="I315" s="179"/>
      <c r="J315" s="179"/>
    </row>
    <row r="316" spans="1:10" ht="15.75" customHeight="1" x14ac:dyDescent="0.2">
      <c r="A316" s="1"/>
      <c r="B316" s="150"/>
      <c r="C316" s="179"/>
      <c r="D316" s="179"/>
      <c r="E316" s="180"/>
      <c r="F316" s="180"/>
      <c r="G316" s="179"/>
      <c r="H316" s="179"/>
      <c r="I316" s="179"/>
      <c r="J316" s="179"/>
    </row>
    <row r="317" spans="1:10" ht="15.75" customHeight="1" x14ac:dyDescent="0.2">
      <c r="A317" s="1"/>
      <c r="B317" s="150"/>
      <c r="C317" s="179"/>
      <c r="D317" s="179"/>
      <c r="E317" s="180"/>
      <c r="F317" s="180"/>
      <c r="G317" s="179"/>
      <c r="H317" s="179"/>
      <c r="I317" s="179"/>
      <c r="J317" s="179"/>
    </row>
    <row r="318" spans="1:10" ht="15.75" customHeight="1" x14ac:dyDescent="0.2">
      <c r="A318" s="1"/>
      <c r="B318" s="150"/>
      <c r="C318" s="179"/>
      <c r="D318" s="179"/>
      <c r="E318" s="180"/>
      <c r="F318" s="180"/>
      <c r="G318" s="179"/>
      <c r="H318" s="179"/>
      <c r="I318" s="179"/>
      <c r="J318" s="179"/>
    </row>
    <row r="319" spans="1:10" ht="15.75" customHeight="1" x14ac:dyDescent="0.2">
      <c r="A319" s="1"/>
      <c r="B319" s="150"/>
      <c r="C319" s="179"/>
      <c r="D319" s="179"/>
      <c r="E319" s="180"/>
      <c r="F319" s="180"/>
      <c r="G319" s="179"/>
      <c r="H319" s="179"/>
      <c r="I319" s="179"/>
      <c r="J319" s="179"/>
    </row>
    <row r="320" spans="1:10" ht="15.75" customHeight="1" x14ac:dyDescent="0.2">
      <c r="A320" s="1"/>
      <c r="B320" s="150"/>
      <c r="C320" s="179"/>
      <c r="D320" s="179"/>
      <c r="E320" s="180"/>
      <c r="F320" s="180"/>
      <c r="G320" s="179"/>
      <c r="H320" s="179"/>
      <c r="I320" s="179"/>
      <c r="J320" s="179"/>
    </row>
    <row r="321" spans="1:10" ht="15.75" customHeight="1" x14ac:dyDescent="0.2">
      <c r="A321" s="1"/>
      <c r="B321" s="150"/>
      <c r="C321" s="179"/>
      <c r="D321" s="179"/>
      <c r="E321" s="180"/>
      <c r="F321" s="180"/>
      <c r="G321" s="179"/>
      <c r="H321" s="179"/>
      <c r="I321" s="179"/>
      <c r="J321" s="179"/>
    </row>
    <row r="322" spans="1:10" ht="15.75" customHeight="1" x14ac:dyDescent="0.2">
      <c r="A322" s="1"/>
      <c r="B322" s="150"/>
      <c r="C322" s="179"/>
      <c r="D322" s="179"/>
      <c r="E322" s="180"/>
      <c r="F322" s="180"/>
      <c r="G322" s="179"/>
      <c r="H322" s="179"/>
      <c r="I322" s="179"/>
      <c r="J322" s="179"/>
    </row>
    <row r="323" spans="1:10" ht="15.75" customHeight="1" x14ac:dyDescent="0.2">
      <c r="A323" s="1"/>
      <c r="B323" s="150"/>
      <c r="C323" s="179"/>
      <c r="D323" s="179"/>
      <c r="E323" s="180"/>
      <c r="F323" s="180"/>
      <c r="G323" s="179"/>
      <c r="H323" s="179"/>
      <c r="I323" s="179"/>
      <c r="J323" s="179"/>
    </row>
    <row r="324" spans="1:10" ht="15.75" customHeight="1" x14ac:dyDescent="0.2">
      <c r="A324" s="1"/>
      <c r="B324" s="150"/>
      <c r="C324" s="179"/>
      <c r="D324" s="179"/>
      <c r="E324" s="180"/>
      <c r="F324" s="180"/>
      <c r="G324" s="179"/>
      <c r="H324" s="179"/>
      <c r="I324" s="179"/>
      <c r="J324" s="179"/>
    </row>
    <row r="325" spans="1:10" ht="15.75" customHeight="1" x14ac:dyDescent="0.2">
      <c r="A325" s="1"/>
      <c r="B325" s="150"/>
      <c r="C325" s="179"/>
      <c r="D325" s="179"/>
      <c r="E325" s="180"/>
      <c r="F325" s="180"/>
      <c r="G325" s="179"/>
      <c r="H325" s="179"/>
      <c r="I325" s="179"/>
      <c r="J325" s="179"/>
    </row>
    <row r="326" spans="1:10" ht="15.75" customHeight="1" x14ac:dyDescent="0.2">
      <c r="A326" s="1"/>
      <c r="B326" s="150"/>
      <c r="C326" s="179"/>
      <c r="D326" s="179"/>
      <c r="E326" s="180"/>
      <c r="F326" s="180"/>
      <c r="G326" s="179"/>
      <c r="H326" s="179"/>
      <c r="I326" s="179"/>
      <c r="J326" s="179"/>
    </row>
    <row r="327" spans="1:10" ht="15.75" customHeight="1" x14ac:dyDescent="0.2">
      <c r="A327" s="1"/>
      <c r="B327" s="150"/>
      <c r="C327" s="179"/>
      <c r="D327" s="179"/>
      <c r="E327" s="180"/>
      <c r="F327" s="180"/>
      <c r="G327" s="179"/>
      <c r="H327" s="179"/>
      <c r="I327" s="179"/>
      <c r="J327" s="179"/>
    </row>
    <row r="328" spans="1:10" ht="15.75" customHeight="1" x14ac:dyDescent="0.2">
      <c r="A328" s="1"/>
      <c r="B328" s="150"/>
      <c r="C328" s="179"/>
      <c r="D328" s="179"/>
      <c r="E328" s="180"/>
      <c r="F328" s="180"/>
      <c r="G328" s="179"/>
      <c r="H328" s="179"/>
      <c r="I328" s="179"/>
      <c r="J328" s="179"/>
    </row>
    <row r="329" spans="1:10" ht="15.75" customHeight="1" x14ac:dyDescent="0.2">
      <c r="A329" s="1"/>
      <c r="B329" s="150"/>
      <c r="C329" s="179"/>
      <c r="D329" s="179"/>
      <c r="E329" s="180"/>
      <c r="F329" s="180"/>
      <c r="G329" s="179"/>
      <c r="H329" s="179"/>
      <c r="I329" s="179"/>
      <c r="J329" s="179"/>
    </row>
    <row r="330" spans="1:10" ht="15.75" customHeight="1" x14ac:dyDescent="0.2">
      <c r="A330" s="1"/>
      <c r="B330" s="150"/>
      <c r="C330" s="179"/>
      <c r="D330" s="179"/>
      <c r="E330" s="180"/>
      <c r="F330" s="180"/>
      <c r="G330" s="179"/>
      <c r="H330" s="179"/>
      <c r="I330" s="179"/>
      <c r="J330" s="179"/>
    </row>
    <row r="331" spans="1:10" ht="15.75" customHeight="1" x14ac:dyDescent="0.2">
      <c r="A331" s="1"/>
      <c r="B331" s="150"/>
      <c r="C331" s="179"/>
      <c r="D331" s="179"/>
      <c r="E331" s="180"/>
      <c r="F331" s="180"/>
      <c r="G331" s="179"/>
      <c r="H331" s="179"/>
      <c r="I331" s="179"/>
      <c r="J331" s="179"/>
    </row>
    <row r="332" spans="1:10" ht="15.75" customHeight="1" x14ac:dyDescent="0.2">
      <c r="A332" s="1"/>
      <c r="B332" s="150"/>
      <c r="C332" s="179"/>
      <c r="D332" s="179"/>
      <c r="E332" s="180"/>
      <c r="F332" s="180"/>
      <c r="G332" s="179"/>
      <c r="H332" s="179"/>
      <c r="I332" s="179"/>
      <c r="J332" s="179"/>
    </row>
    <row r="333" spans="1:10" ht="15.75" customHeight="1" x14ac:dyDescent="0.2">
      <c r="A333" s="1"/>
      <c r="B333" s="150"/>
      <c r="C333" s="179"/>
      <c r="D333" s="179"/>
      <c r="E333" s="180"/>
      <c r="F333" s="180"/>
      <c r="G333" s="179"/>
      <c r="H333" s="179"/>
      <c r="I333" s="179"/>
      <c r="J333" s="179"/>
    </row>
    <row r="334" spans="1:10" ht="15.75" customHeight="1" x14ac:dyDescent="0.2">
      <c r="A334" s="1"/>
      <c r="B334" s="150"/>
      <c r="C334" s="179"/>
      <c r="D334" s="179"/>
      <c r="E334" s="180"/>
      <c r="F334" s="180"/>
      <c r="G334" s="179"/>
      <c r="H334" s="179"/>
      <c r="I334" s="179"/>
      <c r="J334" s="179"/>
    </row>
    <row r="335" spans="1:10" ht="15.75" customHeight="1" x14ac:dyDescent="0.2">
      <c r="A335" s="1"/>
      <c r="B335" s="150"/>
      <c r="C335" s="179"/>
      <c r="D335" s="179"/>
      <c r="E335" s="180"/>
      <c r="F335" s="180"/>
      <c r="G335" s="179"/>
      <c r="H335" s="179"/>
      <c r="I335" s="179"/>
      <c r="J335" s="179"/>
    </row>
    <row r="336" spans="1:10" ht="15.75" customHeight="1" x14ac:dyDescent="0.2">
      <c r="A336" s="1"/>
      <c r="B336" s="150"/>
      <c r="C336" s="179"/>
      <c r="D336" s="179"/>
      <c r="E336" s="180"/>
      <c r="F336" s="180"/>
      <c r="G336" s="179"/>
      <c r="H336" s="179"/>
      <c r="I336" s="179"/>
      <c r="J336" s="179"/>
    </row>
    <row r="337" spans="1:10" ht="15.75" customHeight="1" x14ac:dyDescent="0.2">
      <c r="A337" s="1"/>
      <c r="B337" s="150"/>
      <c r="C337" s="179"/>
      <c r="D337" s="179"/>
      <c r="E337" s="180"/>
      <c r="F337" s="180"/>
      <c r="G337" s="179"/>
      <c r="H337" s="179"/>
      <c r="I337" s="179"/>
      <c r="J337" s="179"/>
    </row>
    <row r="338" spans="1:10" ht="15.75" customHeight="1" x14ac:dyDescent="0.2">
      <c r="A338" s="1"/>
      <c r="B338" s="150"/>
      <c r="C338" s="179"/>
      <c r="D338" s="179"/>
      <c r="E338" s="180"/>
      <c r="F338" s="180"/>
      <c r="G338" s="179"/>
      <c r="H338" s="179"/>
      <c r="I338" s="179"/>
      <c r="J338" s="179"/>
    </row>
    <row r="339" spans="1:10" ht="15.75" customHeight="1" x14ac:dyDescent="0.2">
      <c r="A339" s="1"/>
      <c r="B339" s="150"/>
      <c r="C339" s="179"/>
      <c r="D339" s="179"/>
      <c r="E339" s="180"/>
      <c r="F339" s="180"/>
      <c r="G339" s="179"/>
      <c r="H339" s="179"/>
      <c r="I339" s="179"/>
      <c r="J339" s="179"/>
    </row>
    <row r="340" spans="1:10" ht="15.75" customHeight="1" x14ac:dyDescent="0.2">
      <c r="A340" s="1"/>
      <c r="B340" s="150"/>
      <c r="C340" s="179"/>
      <c r="D340" s="179"/>
      <c r="E340" s="180"/>
      <c r="F340" s="180"/>
      <c r="G340" s="179"/>
      <c r="H340" s="179"/>
      <c r="I340" s="179"/>
      <c r="J340" s="179"/>
    </row>
    <row r="341" spans="1:10" ht="15.75" customHeight="1" x14ac:dyDescent="0.2">
      <c r="A341" s="1"/>
      <c r="B341" s="150"/>
      <c r="C341" s="179"/>
      <c r="D341" s="179"/>
      <c r="E341" s="180"/>
      <c r="F341" s="180"/>
      <c r="G341" s="179"/>
      <c r="H341" s="179"/>
      <c r="I341" s="179"/>
      <c r="J341" s="179"/>
    </row>
    <row r="342" spans="1:10" ht="15.75" customHeight="1" x14ac:dyDescent="0.2">
      <c r="A342" s="1"/>
      <c r="B342" s="150"/>
      <c r="C342" s="179"/>
      <c r="D342" s="179"/>
      <c r="E342" s="180"/>
      <c r="F342" s="180"/>
      <c r="G342" s="179"/>
      <c r="H342" s="179"/>
      <c r="I342" s="179"/>
      <c r="J342" s="179"/>
    </row>
    <row r="343" spans="1:10" ht="15.75" customHeight="1" x14ac:dyDescent="0.2">
      <c r="A343" s="1"/>
      <c r="B343" s="150"/>
      <c r="C343" s="179"/>
      <c r="D343" s="179"/>
      <c r="E343" s="180"/>
      <c r="F343" s="180"/>
      <c r="G343" s="179"/>
      <c r="H343" s="179"/>
      <c r="I343" s="179"/>
      <c r="J343" s="179"/>
    </row>
    <row r="344" spans="1:10" ht="15.75" customHeight="1" x14ac:dyDescent="0.2">
      <c r="A344" s="1"/>
      <c r="B344" s="150"/>
      <c r="C344" s="179"/>
      <c r="D344" s="179"/>
      <c r="E344" s="180"/>
      <c r="F344" s="180"/>
      <c r="G344" s="179"/>
      <c r="H344" s="179"/>
      <c r="I344" s="179"/>
      <c r="J344" s="179"/>
    </row>
    <row r="345" spans="1:10" ht="15.75" customHeight="1" x14ac:dyDescent="0.2">
      <c r="A345" s="1"/>
      <c r="B345" s="150"/>
      <c r="C345" s="179"/>
      <c r="D345" s="179"/>
      <c r="E345" s="180"/>
      <c r="F345" s="180"/>
      <c r="G345" s="179"/>
      <c r="H345" s="179"/>
      <c r="I345" s="179"/>
      <c r="J345" s="179"/>
    </row>
    <row r="346" spans="1:10" ht="15.75" customHeight="1" x14ac:dyDescent="0.2">
      <c r="A346" s="1"/>
      <c r="B346" s="150"/>
      <c r="C346" s="179"/>
      <c r="D346" s="179"/>
      <c r="E346" s="180"/>
      <c r="F346" s="180"/>
      <c r="G346" s="179"/>
      <c r="H346" s="179"/>
      <c r="I346" s="179"/>
      <c r="J346" s="179"/>
    </row>
    <row r="347" spans="1:10" ht="15.75" customHeight="1" x14ac:dyDescent="0.2">
      <c r="A347" s="1"/>
      <c r="B347" s="150"/>
      <c r="C347" s="179"/>
      <c r="D347" s="179"/>
      <c r="E347" s="180"/>
      <c r="F347" s="180"/>
      <c r="G347" s="179"/>
      <c r="H347" s="179"/>
      <c r="I347" s="179"/>
      <c r="J347" s="179"/>
    </row>
    <row r="348" spans="1:10" ht="15.75" customHeight="1" x14ac:dyDescent="0.2">
      <c r="A348" s="1"/>
      <c r="B348" s="150"/>
      <c r="C348" s="179"/>
      <c r="D348" s="179"/>
      <c r="E348" s="180"/>
      <c r="F348" s="180"/>
      <c r="G348" s="179"/>
      <c r="H348" s="179"/>
      <c r="I348" s="179"/>
      <c r="J348" s="179"/>
    </row>
    <row r="349" spans="1:10" ht="15.75" customHeight="1" x14ac:dyDescent="0.2">
      <c r="A349" s="1"/>
      <c r="B349" s="150"/>
      <c r="C349" s="179"/>
      <c r="D349" s="179"/>
      <c r="E349" s="180"/>
      <c r="F349" s="180"/>
      <c r="G349" s="179"/>
      <c r="H349" s="179"/>
      <c r="I349" s="179"/>
      <c r="J349" s="179"/>
    </row>
    <row r="350" spans="1:10" ht="15.75" customHeight="1" x14ac:dyDescent="0.2">
      <c r="A350" s="1"/>
      <c r="B350" s="150"/>
      <c r="C350" s="179"/>
      <c r="D350" s="179"/>
      <c r="E350" s="180"/>
      <c r="F350" s="180"/>
      <c r="G350" s="179"/>
      <c r="H350" s="179"/>
      <c r="I350" s="179"/>
      <c r="J350" s="179"/>
    </row>
    <row r="351" spans="1:10" ht="15.75" customHeight="1" x14ac:dyDescent="0.2">
      <c r="A351" s="1"/>
      <c r="B351" s="150"/>
      <c r="C351" s="179"/>
      <c r="D351" s="179"/>
      <c r="E351" s="180"/>
      <c r="F351" s="180"/>
      <c r="G351" s="179"/>
      <c r="H351" s="179"/>
      <c r="I351" s="179"/>
      <c r="J351" s="179"/>
    </row>
    <row r="352" spans="1:10" ht="15.75" customHeight="1" x14ac:dyDescent="0.2">
      <c r="A352" s="1"/>
      <c r="B352" s="150"/>
      <c r="C352" s="179"/>
      <c r="D352" s="179"/>
      <c r="E352" s="180"/>
      <c r="F352" s="180"/>
      <c r="G352" s="179"/>
      <c r="H352" s="179"/>
      <c r="I352" s="179"/>
      <c r="J352" s="179"/>
    </row>
    <row r="353" spans="1:10" ht="15.75" customHeight="1" x14ac:dyDescent="0.2">
      <c r="A353" s="1"/>
      <c r="B353" s="150"/>
      <c r="C353" s="179"/>
      <c r="D353" s="179"/>
      <c r="E353" s="180"/>
      <c r="F353" s="180"/>
      <c r="G353" s="179"/>
      <c r="H353" s="179"/>
      <c r="I353" s="179"/>
      <c r="J353" s="179"/>
    </row>
    <row r="354" spans="1:10" ht="15.75" customHeight="1" x14ac:dyDescent="0.2">
      <c r="A354" s="1"/>
      <c r="B354" s="150"/>
      <c r="C354" s="179"/>
      <c r="D354" s="179"/>
      <c r="E354" s="180"/>
      <c r="F354" s="180"/>
      <c r="G354" s="179"/>
      <c r="H354" s="179"/>
      <c r="I354" s="179"/>
      <c r="J354" s="179"/>
    </row>
    <row r="355" spans="1:10" ht="15.75" customHeight="1" x14ac:dyDescent="0.2">
      <c r="A355" s="1"/>
      <c r="B355" s="150"/>
      <c r="C355" s="179"/>
      <c r="D355" s="179"/>
      <c r="E355" s="180"/>
      <c r="F355" s="180"/>
      <c r="G355" s="179"/>
      <c r="H355" s="179"/>
      <c r="I355" s="179"/>
      <c r="J355" s="179"/>
    </row>
    <row r="356" spans="1:10" ht="15.75" customHeight="1" x14ac:dyDescent="0.2">
      <c r="A356" s="1"/>
      <c r="B356" s="150"/>
      <c r="C356" s="179"/>
      <c r="D356" s="179"/>
      <c r="E356" s="180"/>
      <c r="F356" s="180"/>
      <c r="G356" s="179"/>
      <c r="H356" s="179"/>
      <c r="I356" s="179"/>
      <c r="J356" s="179"/>
    </row>
    <row r="357" spans="1:10" ht="15.75" customHeight="1" x14ac:dyDescent="0.2">
      <c r="A357" s="1"/>
      <c r="B357" s="150"/>
      <c r="C357" s="179"/>
      <c r="D357" s="179"/>
      <c r="E357" s="180"/>
      <c r="F357" s="180"/>
      <c r="G357" s="179"/>
      <c r="H357" s="179"/>
      <c r="I357" s="179"/>
      <c r="J357" s="179"/>
    </row>
    <row r="358" spans="1:10" ht="15.75" customHeight="1" x14ac:dyDescent="0.2">
      <c r="A358" s="1"/>
      <c r="B358" s="150"/>
      <c r="C358" s="179"/>
      <c r="D358" s="179"/>
      <c r="E358" s="180"/>
      <c r="F358" s="180"/>
      <c r="G358" s="179"/>
      <c r="H358" s="179"/>
      <c r="I358" s="179"/>
      <c r="J358" s="179"/>
    </row>
    <row r="359" spans="1:10" ht="15.75" customHeight="1" x14ac:dyDescent="0.2">
      <c r="A359" s="1"/>
      <c r="B359" s="150"/>
      <c r="C359" s="179"/>
      <c r="D359" s="179"/>
      <c r="E359" s="180"/>
      <c r="F359" s="180"/>
      <c r="G359" s="179"/>
      <c r="H359" s="179"/>
      <c r="I359" s="179"/>
      <c r="J359" s="179"/>
    </row>
    <row r="360" spans="1:10" ht="15.75" customHeight="1" x14ac:dyDescent="0.2">
      <c r="A360" s="1"/>
      <c r="B360" s="150"/>
      <c r="C360" s="179"/>
      <c r="D360" s="179"/>
      <c r="E360" s="180"/>
      <c r="F360" s="180"/>
      <c r="G360" s="179"/>
      <c r="H360" s="179"/>
      <c r="I360" s="179"/>
      <c r="J360" s="179"/>
    </row>
    <row r="361" spans="1:10" ht="15.75" customHeight="1" x14ac:dyDescent="0.2">
      <c r="A361" s="1"/>
      <c r="B361" s="150"/>
      <c r="C361" s="179"/>
      <c r="D361" s="179"/>
      <c r="E361" s="180"/>
      <c r="F361" s="180"/>
      <c r="G361" s="179"/>
      <c r="H361" s="179"/>
      <c r="I361" s="179"/>
      <c r="J361" s="179"/>
    </row>
    <row r="362" spans="1:10" ht="15.75" customHeight="1" x14ac:dyDescent="0.2">
      <c r="A362" s="1"/>
      <c r="B362" s="150"/>
      <c r="C362" s="179"/>
      <c r="D362" s="179"/>
      <c r="E362" s="180"/>
      <c r="F362" s="180"/>
      <c r="G362" s="179"/>
      <c r="H362" s="179"/>
      <c r="I362" s="179"/>
      <c r="J362" s="179"/>
    </row>
    <row r="363" spans="1:10" ht="15.75" customHeight="1" x14ac:dyDescent="0.2">
      <c r="A363" s="1"/>
      <c r="B363" s="150"/>
      <c r="C363" s="179"/>
      <c r="D363" s="179"/>
      <c r="E363" s="180"/>
      <c r="F363" s="180"/>
      <c r="G363" s="179"/>
      <c r="H363" s="179"/>
      <c r="I363" s="179"/>
      <c r="J363" s="179"/>
    </row>
    <row r="364" spans="1:10" ht="15.75" customHeight="1" x14ac:dyDescent="0.2">
      <c r="A364" s="1"/>
      <c r="B364" s="150"/>
      <c r="C364" s="179"/>
      <c r="D364" s="179"/>
      <c r="E364" s="180"/>
      <c r="F364" s="180"/>
      <c r="G364" s="179"/>
      <c r="H364" s="179"/>
      <c r="I364" s="179"/>
      <c r="J364" s="179"/>
    </row>
    <row r="365" spans="1:10" ht="15.75" customHeight="1" x14ac:dyDescent="0.2">
      <c r="A365" s="1"/>
      <c r="B365" s="150"/>
      <c r="C365" s="179"/>
      <c r="D365" s="179"/>
      <c r="E365" s="180"/>
      <c r="F365" s="180"/>
      <c r="G365" s="179"/>
      <c r="H365" s="179"/>
      <c r="I365" s="179"/>
      <c r="J365" s="179"/>
    </row>
    <row r="366" spans="1:10" ht="15.75" customHeight="1" x14ac:dyDescent="0.2">
      <c r="A366" s="1"/>
      <c r="B366" s="150"/>
      <c r="C366" s="179"/>
      <c r="D366" s="179"/>
      <c r="E366" s="180"/>
      <c r="F366" s="180"/>
      <c r="G366" s="179"/>
      <c r="H366" s="179"/>
      <c r="I366" s="179"/>
      <c r="J366" s="179"/>
    </row>
    <row r="367" spans="1:10" ht="15.75" customHeight="1" x14ac:dyDescent="0.2">
      <c r="A367" s="1"/>
      <c r="B367" s="150"/>
      <c r="C367" s="179"/>
      <c r="D367" s="179"/>
      <c r="E367" s="180"/>
      <c r="F367" s="180"/>
      <c r="G367" s="179"/>
      <c r="H367" s="179"/>
      <c r="I367" s="179"/>
      <c r="J367" s="179"/>
    </row>
    <row r="368" spans="1:10" ht="15.75" customHeight="1" x14ac:dyDescent="0.2">
      <c r="A368" s="1"/>
      <c r="B368" s="150"/>
      <c r="C368" s="179"/>
      <c r="D368" s="179"/>
      <c r="E368" s="180"/>
      <c r="F368" s="180"/>
      <c r="G368" s="179"/>
      <c r="H368" s="179"/>
      <c r="I368" s="179"/>
      <c r="J368" s="179"/>
    </row>
    <row r="369" spans="1:10" ht="15.75" customHeight="1" x14ac:dyDescent="0.2">
      <c r="A369" s="1"/>
      <c r="B369" s="150"/>
      <c r="C369" s="179"/>
      <c r="D369" s="179"/>
      <c r="E369" s="180"/>
      <c r="F369" s="180"/>
      <c r="G369" s="179"/>
      <c r="H369" s="179"/>
      <c r="I369" s="179"/>
      <c r="J369" s="179"/>
    </row>
    <row r="370" spans="1:10" ht="15.75" customHeight="1" x14ac:dyDescent="0.2">
      <c r="A370" s="1"/>
      <c r="B370" s="150"/>
      <c r="C370" s="179"/>
      <c r="D370" s="179"/>
      <c r="E370" s="180"/>
      <c r="F370" s="180"/>
      <c r="G370" s="179"/>
      <c r="H370" s="179"/>
      <c r="I370" s="179"/>
      <c r="J370" s="179"/>
    </row>
    <row r="371" spans="1:10" ht="15.75" customHeight="1" x14ac:dyDescent="0.2">
      <c r="A371" s="1"/>
      <c r="B371" s="150"/>
      <c r="C371" s="179"/>
      <c r="D371" s="179"/>
      <c r="E371" s="180"/>
      <c r="F371" s="180"/>
      <c r="G371" s="179"/>
      <c r="H371" s="179"/>
      <c r="I371" s="179"/>
      <c r="J371" s="179"/>
    </row>
    <row r="372" spans="1:10" ht="15.75" customHeight="1" x14ac:dyDescent="0.2">
      <c r="A372" s="1"/>
      <c r="B372" s="150"/>
      <c r="C372" s="179"/>
      <c r="D372" s="179"/>
      <c r="E372" s="180"/>
      <c r="F372" s="180"/>
      <c r="G372" s="179"/>
      <c r="H372" s="179"/>
      <c r="I372" s="179"/>
      <c r="J372" s="179"/>
    </row>
    <row r="373" spans="1:10" ht="15.75" customHeight="1" x14ac:dyDescent="0.2">
      <c r="A373" s="1"/>
      <c r="B373" s="150"/>
      <c r="C373" s="179"/>
      <c r="D373" s="179"/>
      <c r="E373" s="180"/>
      <c r="F373" s="180"/>
      <c r="G373" s="179"/>
      <c r="H373" s="179"/>
      <c r="I373" s="179"/>
      <c r="J373" s="179"/>
    </row>
    <row r="374" spans="1:10" ht="15.75" customHeight="1" x14ac:dyDescent="0.2">
      <c r="A374" s="1"/>
      <c r="B374" s="150"/>
      <c r="C374" s="179"/>
      <c r="D374" s="179"/>
      <c r="E374" s="180"/>
      <c r="F374" s="180"/>
      <c r="G374" s="179"/>
      <c r="H374" s="179"/>
      <c r="I374" s="179"/>
      <c r="J374" s="179"/>
    </row>
    <row r="375" spans="1:10" ht="15.75" customHeight="1" x14ac:dyDescent="0.2">
      <c r="A375" s="1"/>
      <c r="B375" s="150"/>
      <c r="C375" s="179"/>
      <c r="D375" s="179"/>
      <c r="E375" s="180"/>
      <c r="F375" s="180"/>
      <c r="G375" s="179"/>
      <c r="H375" s="179"/>
      <c r="I375" s="179"/>
      <c r="J375" s="179"/>
    </row>
    <row r="376" spans="1:10" ht="15.75" customHeight="1" x14ac:dyDescent="0.2">
      <c r="A376" s="1"/>
      <c r="B376" s="150"/>
      <c r="C376" s="179"/>
      <c r="D376" s="179"/>
      <c r="E376" s="180"/>
      <c r="F376" s="180"/>
      <c r="G376" s="179"/>
      <c r="H376" s="179"/>
      <c r="I376" s="179"/>
      <c r="J376" s="179"/>
    </row>
    <row r="377" spans="1:10" ht="15.75" customHeight="1" x14ac:dyDescent="0.2">
      <c r="A377" s="1"/>
      <c r="B377" s="150"/>
      <c r="C377" s="179"/>
      <c r="D377" s="179"/>
      <c r="E377" s="180"/>
      <c r="F377" s="180"/>
      <c r="G377" s="179"/>
      <c r="H377" s="179"/>
      <c r="I377" s="179"/>
      <c r="J377" s="179"/>
    </row>
    <row r="378" spans="1:10" ht="15.75" customHeight="1" x14ac:dyDescent="0.2">
      <c r="A378" s="1"/>
      <c r="B378" s="150"/>
      <c r="C378" s="179"/>
      <c r="D378" s="179"/>
      <c r="E378" s="180"/>
      <c r="F378" s="180"/>
      <c r="G378" s="179"/>
      <c r="H378" s="179"/>
      <c r="I378" s="179"/>
      <c r="J378" s="179"/>
    </row>
    <row r="379" spans="1:10" ht="15.75" customHeight="1" x14ac:dyDescent="0.2">
      <c r="A379" s="1"/>
      <c r="B379" s="150"/>
      <c r="C379" s="179"/>
      <c r="D379" s="179"/>
      <c r="E379" s="180"/>
      <c r="F379" s="180"/>
      <c r="G379" s="179"/>
      <c r="H379" s="179"/>
      <c r="I379" s="179"/>
      <c r="J379" s="179"/>
    </row>
    <row r="380" spans="1:10" ht="15.75" customHeight="1" x14ac:dyDescent="0.2">
      <c r="A380" s="1"/>
      <c r="B380" s="150"/>
      <c r="C380" s="179"/>
      <c r="D380" s="179"/>
      <c r="E380" s="180"/>
      <c r="F380" s="180"/>
      <c r="G380" s="179"/>
      <c r="H380" s="179"/>
      <c r="I380" s="179"/>
      <c r="J380" s="179"/>
    </row>
    <row r="381" spans="1:10" ht="15.75" customHeight="1" x14ac:dyDescent="0.2">
      <c r="A381" s="1"/>
      <c r="B381" s="150"/>
      <c r="C381" s="179"/>
      <c r="D381" s="179"/>
      <c r="E381" s="180"/>
      <c r="F381" s="180"/>
      <c r="G381" s="179"/>
      <c r="H381" s="179"/>
      <c r="I381" s="179"/>
      <c r="J381" s="179"/>
    </row>
    <row r="382" spans="1:10" ht="15.75" customHeight="1" x14ac:dyDescent="0.2">
      <c r="A382" s="1"/>
      <c r="B382" s="150"/>
      <c r="C382" s="179"/>
      <c r="D382" s="179"/>
      <c r="E382" s="180"/>
      <c r="F382" s="180"/>
      <c r="G382" s="179"/>
      <c r="H382" s="179"/>
      <c r="I382" s="179"/>
      <c r="J382" s="179"/>
    </row>
    <row r="383" spans="1:10" ht="15.75" customHeight="1" x14ac:dyDescent="0.2">
      <c r="A383" s="1"/>
      <c r="B383" s="150"/>
      <c r="C383" s="179"/>
      <c r="D383" s="179"/>
      <c r="E383" s="180"/>
      <c r="F383" s="180"/>
      <c r="G383" s="179"/>
      <c r="H383" s="179"/>
      <c r="I383" s="179"/>
      <c r="J383" s="179"/>
    </row>
    <row r="384" spans="1:10" ht="15.75" customHeight="1" x14ac:dyDescent="0.2">
      <c r="A384" s="1"/>
      <c r="B384" s="150"/>
      <c r="C384" s="179"/>
      <c r="D384" s="179"/>
      <c r="E384" s="180"/>
      <c r="F384" s="180"/>
      <c r="G384" s="179"/>
      <c r="H384" s="179"/>
      <c r="I384" s="179"/>
      <c r="J384" s="179"/>
    </row>
    <row r="385" spans="1:10" ht="15.75" customHeight="1" x14ac:dyDescent="0.2">
      <c r="A385" s="1"/>
      <c r="B385" s="150"/>
      <c r="C385" s="179"/>
      <c r="D385" s="179"/>
      <c r="E385" s="180"/>
      <c r="F385" s="180"/>
      <c r="G385" s="179"/>
      <c r="H385" s="179"/>
      <c r="I385" s="179"/>
      <c r="J385" s="179"/>
    </row>
    <row r="386" spans="1:10" ht="15.75" customHeight="1" x14ac:dyDescent="0.2">
      <c r="A386" s="1"/>
      <c r="B386" s="150"/>
      <c r="C386" s="179"/>
      <c r="D386" s="179"/>
      <c r="E386" s="180"/>
      <c r="F386" s="180"/>
      <c r="G386" s="179"/>
      <c r="H386" s="179"/>
      <c r="I386" s="179"/>
      <c r="J386" s="179"/>
    </row>
    <row r="387" spans="1:10" ht="15.75" customHeight="1" x14ac:dyDescent="0.2">
      <c r="A387" s="1"/>
      <c r="B387" s="150"/>
      <c r="C387" s="179"/>
      <c r="D387" s="179"/>
      <c r="E387" s="180"/>
      <c r="F387" s="180"/>
      <c r="G387" s="179"/>
      <c r="H387" s="179"/>
      <c r="I387" s="179"/>
      <c r="J387" s="179"/>
    </row>
    <row r="388" spans="1:10" ht="15.75" customHeight="1" x14ac:dyDescent="0.2">
      <c r="A388" s="1"/>
      <c r="B388" s="150"/>
      <c r="C388" s="179"/>
      <c r="D388" s="179"/>
      <c r="E388" s="180"/>
      <c r="F388" s="180"/>
      <c r="G388" s="179"/>
      <c r="H388" s="179"/>
      <c r="I388" s="179"/>
      <c r="J388" s="179"/>
    </row>
    <row r="389" spans="1:10" ht="15.75" customHeight="1" x14ac:dyDescent="0.2">
      <c r="A389" s="1"/>
      <c r="B389" s="150"/>
      <c r="C389" s="179"/>
      <c r="D389" s="179"/>
      <c r="E389" s="180"/>
      <c r="F389" s="180"/>
      <c r="G389" s="179"/>
      <c r="H389" s="179"/>
      <c r="I389" s="179"/>
      <c r="J389" s="179"/>
    </row>
    <row r="390" spans="1:10" ht="15.75" customHeight="1" x14ac:dyDescent="0.2">
      <c r="A390" s="1"/>
      <c r="B390" s="150"/>
      <c r="C390" s="179"/>
      <c r="D390" s="179"/>
      <c r="E390" s="180"/>
      <c r="F390" s="180"/>
      <c r="G390" s="179"/>
      <c r="H390" s="179"/>
      <c r="I390" s="179"/>
      <c r="J390" s="179"/>
    </row>
    <row r="391" spans="1:10" ht="15.75" customHeight="1" x14ac:dyDescent="0.2">
      <c r="A391" s="1"/>
      <c r="B391" s="150"/>
      <c r="C391" s="179"/>
      <c r="D391" s="179"/>
      <c r="E391" s="180"/>
      <c r="F391" s="180"/>
      <c r="G391" s="179"/>
      <c r="H391" s="179"/>
      <c r="I391" s="179"/>
      <c r="J391" s="179"/>
    </row>
    <row r="392" spans="1:10" ht="15.75" customHeight="1" x14ac:dyDescent="0.2">
      <c r="A392" s="1"/>
      <c r="B392" s="150"/>
      <c r="C392" s="179"/>
      <c r="D392" s="179"/>
      <c r="E392" s="180"/>
      <c r="F392" s="180"/>
      <c r="G392" s="179"/>
      <c r="H392" s="179"/>
      <c r="I392" s="179"/>
      <c r="J392" s="179"/>
    </row>
    <row r="393" spans="1:10" ht="15.75" customHeight="1" x14ac:dyDescent="0.2">
      <c r="A393" s="1"/>
      <c r="B393" s="150"/>
      <c r="C393" s="179"/>
      <c r="D393" s="179"/>
      <c r="E393" s="180"/>
      <c r="F393" s="180"/>
      <c r="G393" s="179"/>
      <c r="H393" s="179"/>
      <c r="I393" s="179"/>
      <c r="J393" s="179"/>
    </row>
    <row r="394" spans="1:10" ht="15.75" customHeight="1" x14ac:dyDescent="0.2">
      <c r="A394" s="1"/>
      <c r="B394" s="150"/>
      <c r="C394" s="179"/>
      <c r="D394" s="179"/>
      <c r="E394" s="180"/>
      <c r="F394" s="180"/>
      <c r="G394" s="179"/>
      <c r="H394" s="179"/>
      <c r="I394" s="179"/>
      <c r="J394" s="179"/>
    </row>
    <row r="395" spans="1:10" ht="15.75" customHeight="1" x14ac:dyDescent="0.2">
      <c r="A395" s="1"/>
      <c r="B395" s="150"/>
      <c r="C395" s="179"/>
      <c r="D395" s="179"/>
      <c r="E395" s="180"/>
      <c r="F395" s="180"/>
      <c r="G395" s="179"/>
      <c r="H395" s="179"/>
      <c r="I395" s="179"/>
      <c r="J395" s="179"/>
    </row>
    <row r="396" spans="1:10" ht="15.75" customHeight="1" x14ac:dyDescent="0.2">
      <c r="A396" s="1"/>
      <c r="B396" s="150"/>
      <c r="C396" s="179"/>
      <c r="D396" s="179"/>
      <c r="E396" s="180"/>
      <c r="F396" s="180"/>
      <c r="G396" s="179"/>
      <c r="H396" s="179"/>
      <c r="I396" s="179"/>
      <c r="J396" s="179"/>
    </row>
    <row r="397" spans="1:10" ht="15.75" customHeight="1" x14ac:dyDescent="0.2">
      <c r="A397" s="1"/>
      <c r="B397" s="150"/>
      <c r="C397" s="179"/>
      <c r="D397" s="179"/>
      <c r="E397" s="180"/>
      <c r="F397" s="180"/>
      <c r="G397" s="179"/>
      <c r="H397" s="179"/>
      <c r="I397" s="179"/>
      <c r="J397" s="179"/>
    </row>
    <row r="398" spans="1:10" ht="15.75" customHeight="1" x14ac:dyDescent="0.2">
      <c r="A398" s="1"/>
      <c r="B398" s="150"/>
      <c r="C398" s="179"/>
      <c r="D398" s="179"/>
      <c r="E398" s="180"/>
      <c r="F398" s="180"/>
      <c r="G398" s="179"/>
      <c r="H398" s="179"/>
      <c r="I398" s="179"/>
      <c r="J398" s="179"/>
    </row>
    <row r="399" spans="1:10" ht="15.75" customHeight="1" x14ac:dyDescent="0.2">
      <c r="A399" s="1"/>
      <c r="B399" s="150"/>
      <c r="C399" s="179"/>
      <c r="D399" s="179"/>
      <c r="E399" s="180"/>
      <c r="F399" s="180"/>
      <c r="G399" s="179"/>
      <c r="H399" s="179"/>
      <c r="I399" s="179"/>
      <c r="J399" s="179"/>
    </row>
    <row r="400" spans="1:10" ht="15.75" customHeight="1" x14ac:dyDescent="0.2">
      <c r="A400" s="1"/>
      <c r="B400" s="150"/>
      <c r="C400" s="179"/>
      <c r="D400" s="179"/>
      <c r="E400" s="180"/>
      <c r="F400" s="180"/>
      <c r="G400" s="179"/>
      <c r="H400" s="179"/>
      <c r="I400" s="179"/>
      <c r="J400" s="179"/>
    </row>
    <row r="401" spans="1:10" ht="15.75" customHeight="1" x14ac:dyDescent="0.2">
      <c r="A401" s="1"/>
      <c r="B401" s="150"/>
      <c r="C401" s="179"/>
      <c r="D401" s="179"/>
      <c r="E401" s="180"/>
      <c r="F401" s="180"/>
      <c r="G401" s="179"/>
      <c r="H401" s="179"/>
      <c r="I401" s="179"/>
      <c r="J401" s="179"/>
    </row>
    <row r="402" spans="1:10" ht="15.75" customHeight="1" x14ac:dyDescent="0.2">
      <c r="A402" s="1"/>
      <c r="B402" s="150"/>
      <c r="C402" s="179"/>
      <c r="D402" s="179"/>
      <c r="E402" s="180"/>
      <c r="F402" s="180"/>
      <c r="G402" s="179"/>
      <c r="H402" s="179"/>
      <c r="I402" s="179"/>
      <c r="J402" s="179"/>
    </row>
    <row r="403" spans="1:10" ht="15.75" customHeight="1" x14ac:dyDescent="0.2">
      <c r="A403" s="1"/>
      <c r="B403" s="150"/>
      <c r="C403" s="179"/>
      <c r="D403" s="179"/>
      <c r="E403" s="180"/>
      <c r="F403" s="180"/>
      <c r="G403" s="179"/>
      <c r="H403" s="179"/>
      <c r="I403" s="179"/>
      <c r="J403" s="179"/>
    </row>
    <row r="404" spans="1:10" ht="15.75" customHeight="1" x14ac:dyDescent="0.2">
      <c r="A404" s="1"/>
      <c r="B404" s="150"/>
      <c r="C404" s="179"/>
      <c r="D404" s="179"/>
      <c r="E404" s="180"/>
      <c r="F404" s="180"/>
      <c r="G404" s="179"/>
      <c r="H404" s="179"/>
      <c r="I404" s="179"/>
      <c r="J404" s="179"/>
    </row>
    <row r="405" spans="1:10" ht="15.75" customHeight="1" x14ac:dyDescent="0.2">
      <c r="A405" s="1"/>
      <c r="B405" s="150"/>
      <c r="C405" s="179"/>
      <c r="D405" s="179"/>
      <c r="E405" s="180"/>
      <c r="F405" s="180"/>
      <c r="G405" s="179"/>
      <c r="H405" s="179"/>
      <c r="I405" s="179"/>
      <c r="J405" s="179"/>
    </row>
    <row r="406" spans="1:10" ht="15.75" customHeight="1" x14ac:dyDescent="0.2">
      <c r="A406" s="1"/>
      <c r="B406" s="150"/>
      <c r="C406" s="179"/>
      <c r="D406" s="179"/>
      <c r="E406" s="180"/>
      <c r="F406" s="180"/>
      <c r="G406" s="179"/>
      <c r="H406" s="179"/>
      <c r="I406" s="179"/>
      <c r="J406" s="179"/>
    </row>
    <row r="407" spans="1:10" ht="15.75" customHeight="1" x14ac:dyDescent="0.2">
      <c r="A407" s="1"/>
      <c r="B407" s="150"/>
      <c r="C407" s="179"/>
      <c r="D407" s="179"/>
      <c r="E407" s="180"/>
      <c r="F407" s="180"/>
      <c r="G407" s="179"/>
      <c r="H407" s="179"/>
      <c r="I407" s="179"/>
      <c r="J407" s="179"/>
    </row>
    <row r="408" spans="1:10" ht="15.75" customHeight="1" x14ac:dyDescent="0.2">
      <c r="A408" s="1"/>
      <c r="B408" s="150"/>
      <c r="C408" s="179"/>
      <c r="D408" s="179"/>
      <c r="E408" s="180"/>
      <c r="F408" s="180"/>
      <c r="G408" s="179"/>
      <c r="H408" s="179"/>
      <c r="I408" s="179"/>
      <c r="J408" s="179"/>
    </row>
    <row r="409" spans="1:10" ht="15.75" customHeight="1" x14ac:dyDescent="0.2">
      <c r="A409" s="1"/>
      <c r="B409" s="150"/>
      <c r="C409" s="179"/>
      <c r="D409" s="179"/>
      <c r="E409" s="180"/>
      <c r="F409" s="180"/>
      <c r="G409" s="179"/>
      <c r="H409" s="179"/>
      <c r="I409" s="179"/>
      <c r="J409" s="179"/>
    </row>
    <row r="410" spans="1:10" ht="15.75" customHeight="1" x14ac:dyDescent="0.2">
      <c r="A410" s="1"/>
      <c r="B410" s="150"/>
      <c r="C410" s="179"/>
      <c r="D410" s="179"/>
      <c r="E410" s="180"/>
      <c r="F410" s="180"/>
      <c r="G410" s="179"/>
      <c r="H410" s="179"/>
      <c r="I410" s="179"/>
      <c r="J410" s="179"/>
    </row>
    <row r="411" spans="1:10" ht="15.75" customHeight="1" x14ac:dyDescent="0.2">
      <c r="A411" s="1"/>
      <c r="B411" s="150"/>
      <c r="C411" s="179"/>
      <c r="D411" s="179"/>
      <c r="E411" s="180"/>
      <c r="F411" s="180"/>
      <c r="G411" s="179"/>
      <c r="H411" s="179"/>
      <c r="I411" s="179"/>
      <c r="J411" s="179"/>
    </row>
    <row r="412" spans="1:10" ht="15.75" customHeight="1" x14ac:dyDescent="0.2">
      <c r="A412" s="1"/>
      <c r="B412" s="150"/>
      <c r="C412" s="179"/>
      <c r="D412" s="179"/>
      <c r="E412" s="180"/>
      <c r="F412" s="180"/>
      <c r="G412" s="179"/>
      <c r="H412" s="179"/>
      <c r="I412" s="179"/>
      <c r="J412" s="179"/>
    </row>
    <row r="413" spans="1:10" ht="15.75" customHeight="1" x14ac:dyDescent="0.2">
      <c r="A413" s="1"/>
      <c r="B413" s="150"/>
      <c r="C413" s="179"/>
      <c r="D413" s="179"/>
      <c r="E413" s="180"/>
      <c r="F413" s="180"/>
      <c r="G413" s="179"/>
      <c r="H413" s="179"/>
      <c r="I413" s="179"/>
      <c r="J413" s="179"/>
    </row>
    <row r="414" spans="1:10" ht="15.75" customHeight="1" x14ac:dyDescent="0.2">
      <c r="A414" s="1"/>
      <c r="B414" s="150"/>
      <c r="C414" s="179"/>
      <c r="D414" s="179"/>
      <c r="E414" s="180"/>
      <c r="F414" s="180"/>
      <c r="G414" s="179"/>
      <c r="H414" s="179"/>
      <c r="I414" s="179"/>
      <c r="J414" s="179"/>
    </row>
    <row r="415" spans="1:10" ht="15.75" customHeight="1" x14ac:dyDescent="0.2">
      <c r="A415" s="1"/>
      <c r="B415" s="150"/>
      <c r="C415" s="179"/>
      <c r="D415" s="179"/>
      <c r="E415" s="180"/>
      <c r="F415" s="180"/>
      <c r="G415" s="179"/>
      <c r="H415" s="179"/>
      <c r="I415" s="179"/>
      <c r="J415" s="179"/>
    </row>
    <row r="416" spans="1:10" ht="15.75" customHeight="1" x14ac:dyDescent="0.2">
      <c r="A416" s="1"/>
      <c r="B416" s="150"/>
      <c r="C416" s="179"/>
      <c r="D416" s="179"/>
      <c r="E416" s="180"/>
      <c r="F416" s="180"/>
      <c r="G416" s="179"/>
      <c r="H416" s="179"/>
      <c r="I416" s="179"/>
      <c r="J416" s="179"/>
    </row>
    <row r="417" spans="1:10" ht="15.75" customHeight="1" x14ac:dyDescent="0.2">
      <c r="A417" s="1"/>
      <c r="B417" s="150"/>
      <c r="C417" s="179"/>
      <c r="D417" s="179"/>
      <c r="E417" s="180"/>
      <c r="F417" s="180"/>
      <c r="G417" s="179"/>
      <c r="H417" s="179"/>
      <c r="I417" s="179"/>
      <c r="J417" s="179"/>
    </row>
    <row r="418" spans="1:10" ht="15.75" customHeight="1" x14ac:dyDescent="0.2">
      <c r="A418" s="1"/>
      <c r="B418" s="150"/>
      <c r="C418" s="179"/>
      <c r="D418" s="179"/>
      <c r="E418" s="180"/>
      <c r="F418" s="180"/>
      <c r="G418" s="179"/>
      <c r="H418" s="179"/>
      <c r="I418" s="179"/>
      <c r="J418" s="179"/>
    </row>
    <row r="419" spans="1:10" ht="15.75" customHeight="1" x14ac:dyDescent="0.2">
      <c r="A419" s="1"/>
      <c r="B419" s="150"/>
      <c r="C419" s="179"/>
      <c r="D419" s="179"/>
      <c r="E419" s="180"/>
      <c r="F419" s="180"/>
      <c r="G419" s="179"/>
      <c r="H419" s="179"/>
      <c r="I419" s="179"/>
      <c r="J419" s="179"/>
    </row>
    <row r="420" spans="1:10" ht="15.75" customHeight="1" x14ac:dyDescent="0.2">
      <c r="A420" s="1"/>
      <c r="B420" s="150"/>
      <c r="C420" s="179"/>
      <c r="D420" s="179"/>
      <c r="E420" s="180"/>
      <c r="F420" s="180"/>
      <c r="G420" s="179"/>
      <c r="H420" s="179"/>
      <c r="I420" s="179"/>
      <c r="J420" s="179"/>
    </row>
    <row r="421" spans="1:10" ht="15.75" customHeight="1" x14ac:dyDescent="0.2">
      <c r="A421" s="1"/>
      <c r="B421" s="150"/>
      <c r="C421" s="179"/>
      <c r="D421" s="179"/>
      <c r="E421" s="180"/>
      <c r="F421" s="180"/>
      <c r="G421" s="179"/>
      <c r="H421" s="179"/>
      <c r="I421" s="179"/>
      <c r="J421" s="179"/>
    </row>
    <row r="422" spans="1:10" ht="15.75" customHeight="1" x14ac:dyDescent="0.2">
      <c r="A422" s="1"/>
      <c r="B422" s="150"/>
      <c r="C422" s="179"/>
      <c r="D422" s="179"/>
      <c r="E422" s="180"/>
      <c r="F422" s="180"/>
      <c r="G422" s="179"/>
      <c r="H422" s="179"/>
      <c r="I422" s="179"/>
      <c r="J422" s="179"/>
    </row>
    <row r="423" spans="1:10" ht="15.75" customHeight="1" x14ac:dyDescent="0.2">
      <c r="A423" s="1"/>
      <c r="B423" s="150"/>
      <c r="C423" s="179"/>
      <c r="D423" s="179"/>
      <c r="E423" s="180"/>
      <c r="F423" s="180"/>
      <c r="G423" s="179"/>
      <c r="H423" s="179"/>
      <c r="I423" s="179"/>
      <c r="J423" s="179"/>
    </row>
    <row r="424" spans="1:10" ht="15.75" customHeight="1" x14ac:dyDescent="0.2">
      <c r="A424" s="1"/>
      <c r="B424" s="150"/>
      <c r="C424" s="179"/>
      <c r="D424" s="179"/>
      <c r="E424" s="180"/>
      <c r="F424" s="180"/>
      <c r="G424" s="179"/>
      <c r="H424" s="179"/>
      <c r="I424" s="179"/>
      <c r="J424" s="179"/>
    </row>
    <row r="425" spans="1:10" ht="15.75" customHeight="1" x14ac:dyDescent="0.2">
      <c r="A425" s="1"/>
      <c r="B425" s="150"/>
      <c r="C425" s="179"/>
      <c r="D425" s="179"/>
      <c r="E425" s="180"/>
      <c r="F425" s="180"/>
      <c r="G425" s="179"/>
      <c r="H425" s="179"/>
      <c r="I425" s="179"/>
      <c r="J425" s="179"/>
    </row>
    <row r="426" spans="1:10" ht="15.75" customHeight="1" x14ac:dyDescent="0.2">
      <c r="A426" s="1"/>
      <c r="B426" s="150"/>
      <c r="C426" s="179"/>
      <c r="D426" s="179"/>
      <c r="E426" s="180"/>
      <c r="F426" s="180"/>
      <c r="G426" s="179"/>
      <c r="H426" s="179"/>
      <c r="I426" s="179"/>
      <c r="J426" s="179"/>
    </row>
    <row r="427" spans="1:10" ht="15.75" customHeight="1" x14ac:dyDescent="0.2">
      <c r="A427" s="1"/>
      <c r="B427" s="150"/>
      <c r="C427" s="179"/>
      <c r="D427" s="179"/>
      <c r="E427" s="180"/>
      <c r="F427" s="180"/>
      <c r="G427" s="179"/>
      <c r="H427" s="179"/>
      <c r="I427" s="179"/>
      <c r="J427" s="179"/>
    </row>
    <row r="428" spans="1:10" ht="15.75" customHeight="1" x14ac:dyDescent="0.2">
      <c r="A428" s="1"/>
      <c r="B428" s="150"/>
      <c r="C428" s="179"/>
      <c r="D428" s="179"/>
      <c r="E428" s="180"/>
      <c r="F428" s="180"/>
      <c r="G428" s="179"/>
      <c r="H428" s="179"/>
      <c r="I428" s="179"/>
      <c r="J428" s="179"/>
    </row>
    <row r="429" spans="1:10" ht="15.75" customHeight="1" x14ac:dyDescent="0.2">
      <c r="A429" s="1"/>
      <c r="B429" s="150"/>
      <c r="C429" s="179"/>
      <c r="D429" s="179"/>
      <c r="E429" s="180"/>
      <c r="F429" s="180"/>
      <c r="G429" s="179"/>
      <c r="H429" s="179"/>
      <c r="I429" s="179"/>
      <c r="J429" s="179"/>
    </row>
    <row r="430" spans="1:10" ht="15.75" customHeight="1" x14ac:dyDescent="0.2">
      <c r="A430" s="1"/>
      <c r="B430" s="150"/>
      <c r="C430" s="179"/>
      <c r="D430" s="179"/>
      <c r="E430" s="180"/>
      <c r="F430" s="180"/>
      <c r="G430" s="179"/>
      <c r="H430" s="179"/>
      <c r="I430" s="179"/>
      <c r="J430" s="179"/>
    </row>
    <row r="431" spans="1:10" ht="15.75" customHeight="1" x14ac:dyDescent="0.2">
      <c r="A431" s="1"/>
      <c r="B431" s="150"/>
      <c r="C431" s="179"/>
      <c r="D431" s="179"/>
      <c r="E431" s="180"/>
      <c r="F431" s="180"/>
      <c r="G431" s="179"/>
      <c r="H431" s="179"/>
      <c r="I431" s="179"/>
      <c r="J431" s="179"/>
    </row>
    <row r="432" spans="1:10" ht="15.75" customHeight="1" x14ac:dyDescent="0.2">
      <c r="A432" s="1"/>
      <c r="B432" s="150"/>
      <c r="C432" s="179"/>
      <c r="D432" s="179"/>
      <c r="E432" s="180"/>
      <c r="F432" s="180"/>
      <c r="G432" s="179"/>
      <c r="H432" s="179"/>
      <c r="I432" s="179"/>
      <c r="J432" s="179"/>
    </row>
    <row r="433" spans="1:10" ht="15.75" customHeight="1" x14ac:dyDescent="0.2">
      <c r="A433" s="1"/>
      <c r="B433" s="150"/>
      <c r="C433" s="179"/>
      <c r="D433" s="179"/>
      <c r="E433" s="180"/>
      <c r="F433" s="180"/>
      <c r="G433" s="179"/>
      <c r="H433" s="179"/>
      <c r="I433" s="179"/>
      <c r="J433" s="179"/>
    </row>
    <row r="434" spans="1:10" ht="15.75" customHeight="1" x14ac:dyDescent="0.2">
      <c r="A434" s="1"/>
      <c r="B434" s="150"/>
      <c r="C434" s="179"/>
      <c r="D434" s="179"/>
      <c r="E434" s="180"/>
      <c r="F434" s="180"/>
      <c r="G434" s="179"/>
      <c r="H434" s="179"/>
      <c r="I434" s="179"/>
      <c r="J434" s="179"/>
    </row>
    <row r="435" spans="1:10" ht="15.75" customHeight="1" x14ac:dyDescent="0.2">
      <c r="A435" s="1"/>
      <c r="B435" s="150"/>
      <c r="C435" s="179"/>
      <c r="D435" s="179"/>
      <c r="E435" s="180"/>
      <c r="F435" s="180"/>
      <c r="G435" s="179"/>
      <c r="H435" s="179"/>
      <c r="I435" s="179"/>
      <c r="J435" s="179"/>
    </row>
    <row r="436" spans="1:10" ht="15.75" customHeight="1" x14ac:dyDescent="0.2">
      <c r="A436" s="1"/>
      <c r="B436" s="150"/>
      <c r="C436" s="179"/>
      <c r="D436" s="179"/>
      <c r="E436" s="180"/>
      <c r="F436" s="180"/>
      <c r="G436" s="179"/>
      <c r="H436" s="179"/>
      <c r="I436" s="179"/>
      <c r="J436" s="179"/>
    </row>
    <row r="437" spans="1:10" ht="15.75" customHeight="1" x14ac:dyDescent="0.2">
      <c r="A437" s="1"/>
      <c r="B437" s="150"/>
      <c r="C437" s="179"/>
      <c r="D437" s="179"/>
      <c r="E437" s="180"/>
      <c r="F437" s="180"/>
      <c r="G437" s="179"/>
      <c r="H437" s="179"/>
      <c r="I437" s="179"/>
      <c r="J437" s="179"/>
    </row>
    <row r="438" spans="1:10" ht="15.75" customHeight="1" x14ac:dyDescent="0.2">
      <c r="A438" s="1"/>
      <c r="B438" s="150"/>
      <c r="C438" s="179"/>
      <c r="D438" s="179"/>
      <c r="E438" s="180"/>
      <c r="F438" s="180"/>
      <c r="G438" s="179"/>
      <c r="H438" s="179"/>
      <c r="I438" s="179"/>
      <c r="J438" s="179"/>
    </row>
    <row r="439" spans="1:10" ht="15.75" customHeight="1" x14ac:dyDescent="0.2">
      <c r="A439" s="1"/>
      <c r="B439" s="150"/>
      <c r="C439" s="179"/>
      <c r="D439" s="179"/>
      <c r="E439" s="180"/>
      <c r="F439" s="180"/>
      <c r="G439" s="179"/>
      <c r="H439" s="179"/>
      <c r="I439" s="179"/>
      <c r="J439" s="179"/>
    </row>
    <row r="440" spans="1:10" ht="15.75" customHeight="1" x14ac:dyDescent="0.2">
      <c r="A440" s="1"/>
      <c r="B440" s="150"/>
      <c r="C440" s="179"/>
      <c r="D440" s="179"/>
      <c r="E440" s="180"/>
      <c r="F440" s="180"/>
      <c r="G440" s="179"/>
      <c r="H440" s="179"/>
      <c r="I440" s="179"/>
      <c r="J440" s="179"/>
    </row>
    <row r="441" spans="1:10" ht="15.75" customHeight="1" x14ac:dyDescent="0.2">
      <c r="A441" s="1"/>
      <c r="B441" s="150"/>
      <c r="C441" s="179"/>
      <c r="D441" s="179"/>
      <c r="E441" s="180"/>
      <c r="F441" s="180"/>
      <c r="G441" s="179"/>
      <c r="H441" s="179"/>
      <c r="I441" s="179"/>
      <c r="J441" s="179"/>
    </row>
    <row r="442" spans="1:10" ht="15.75" customHeight="1" x14ac:dyDescent="0.2">
      <c r="A442" s="1"/>
      <c r="B442" s="150"/>
      <c r="C442" s="179"/>
      <c r="D442" s="179"/>
      <c r="E442" s="180"/>
      <c r="F442" s="180"/>
      <c r="G442" s="179"/>
      <c r="H442" s="179"/>
      <c r="I442" s="179"/>
      <c r="J442" s="179"/>
    </row>
    <row r="443" spans="1:10" ht="15.75" customHeight="1" x14ac:dyDescent="0.2">
      <c r="A443" s="1"/>
      <c r="B443" s="150"/>
      <c r="C443" s="179"/>
      <c r="D443" s="179"/>
      <c r="E443" s="180"/>
      <c r="F443" s="180"/>
      <c r="G443" s="179"/>
      <c r="H443" s="179"/>
      <c r="I443" s="179"/>
      <c r="J443" s="179"/>
    </row>
    <row r="444" spans="1:10" ht="15.75" customHeight="1" x14ac:dyDescent="0.2">
      <c r="A444" s="1"/>
      <c r="B444" s="150"/>
      <c r="C444" s="179"/>
      <c r="D444" s="179"/>
      <c r="E444" s="180"/>
      <c r="F444" s="180"/>
      <c r="G444" s="179"/>
      <c r="H444" s="179"/>
      <c r="I444" s="179"/>
      <c r="J444" s="179"/>
    </row>
    <row r="445" spans="1:10" ht="15.75" customHeight="1" x14ac:dyDescent="0.2">
      <c r="A445" s="1"/>
      <c r="B445" s="150"/>
      <c r="C445" s="179"/>
      <c r="D445" s="179"/>
      <c r="E445" s="180"/>
      <c r="F445" s="180"/>
      <c r="G445" s="179"/>
      <c r="H445" s="179"/>
      <c r="I445" s="179"/>
      <c r="J445" s="179"/>
    </row>
    <row r="446" spans="1:10" ht="15.75" customHeight="1" x14ac:dyDescent="0.2">
      <c r="A446" s="1"/>
      <c r="B446" s="150"/>
      <c r="C446" s="179"/>
      <c r="D446" s="179"/>
      <c r="E446" s="180"/>
      <c r="F446" s="180"/>
      <c r="G446" s="179"/>
      <c r="H446" s="179"/>
      <c r="I446" s="179"/>
      <c r="J446" s="179"/>
    </row>
    <row r="447" spans="1:10" ht="15.75" customHeight="1" x14ac:dyDescent="0.2">
      <c r="A447" s="1"/>
      <c r="B447" s="150"/>
      <c r="C447" s="179"/>
      <c r="D447" s="179"/>
      <c r="E447" s="180"/>
      <c r="F447" s="180"/>
      <c r="G447" s="179"/>
      <c r="H447" s="179"/>
      <c r="I447" s="179"/>
      <c r="J447" s="179"/>
    </row>
    <row r="448" spans="1:10" ht="15.75" customHeight="1" x14ac:dyDescent="0.2">
      <c r="A448" s="1"/>
      <c r="B448" s="150"/>
      <c r="C448" s="179"/>
      <c r="D448" s="179"/>
      <c r="E448" s="180"/>
      <c r="F448" s="180"/>
      <c r="G448" s="179"/>
      <c r="H448" s="179"/>
      <c r="I448" s="179"/>
      <c r="J448" s="179"/>
    </row>
    <row r="449" spans="1:10" ht="15.75" customHeight="1" x14ac:dyDescent="0.2">
      <c r="A449" s="1"/>
      <c r="B449" s="150"/>
      <c r="C449" s="179"/>
      <c r="D449" s="179"/>
      <c r="E449" s="180"/>
      <c r="F449" s="180"/>
      <c r="G449" s="179"/>
      <c r="H449" s="179"/>
      <c r="I449" s="179"/>
      <c r="J449" s="179"/>
    </row>
    <row r="450" spans="1:10" ht="15.75" customHeight="1" x14ac:dyDescent="0.2">
      <c r="A450" s="1"/>
      <c r="B450" s="150"/>
      <c r="C450" s="179"/>
      <c r="D450" s="179"/>
      <c r="E450" s="180"/>
      <c r="F450" s="180"/>
      <c r="G450" s="179"/>
      <c r="H450" s="179"/>
      <c r="I450" s="179"/>
      <c r="J450" s="179"/>
    </row>
    <row r="451" spans="1:10" ht="15.75" customHeight="1" x14ac:dyDescent="0.2">
      <c r="A451" s="1"/>
      <c r="B451" s="150"/>
      <c r="C451" s="179"/>
      <c r="D451" s="179"/>
      <c r="E451" s="180"/>
      <c r="F451" s="180"/>
      <c r="G451" s="179"/>
      <c r="H451" s="179"/>
      <c r="I451" s="179"/>
      <c r="J451" s="179"/>
    </row>
    <row r="452" spans="1:10" ht="15.75" customHeight="1" x14ac:dyDescent="0.2">
      <c r="A452" s="1"/>
      <c r="B452" s="150"/>
      <c r="C452" s="179"/>
      <c r="D452" s="179"/>
      <c r="E452" s="180"/>
      <c r="F452" s="180"/>
      <c r="G452" s="179"/>
      <c r="H452" s="179"/>
      <c r="I452" s="179"/>
      <c r="J452" s="179"/>
    </row>
    <row r="453" spans="1:10" ht="15.75" customHeight="1" x14ac:dyDescent="0.2">
      <c r="A453" s="1"/>
      <c r="B453" s="150"/>
      <c r="C453" s="179"/>
      <c r="D453" s="179"/>
      <c r="E453" s="180"/>
      <c r="F453" s="180"/>
      <c r="G453" s="179"/>
      <c r="H453" s="179"/>
      <c r="I453" s="179"/>
      <c r="J453" s="179"/>
    </row>
    <row r="454" spans="1:10" ht="15.75" customHeight="1" x14ac:dyDescent="0.2">
      <c r="A454" s="1"/>
      <c r="B454" s="150"/>
      <c r="C454" s="179"/>
      <c r="D454" s="179"/>
      <c r="E454" s="180"/>
      <c r="F454" s="180"/>
      <c r="G454" s="179"/>
      <c r="H454" s="179"/>
      <c r="I454" s="179"/>
      <c r="J454" s="179"/>
    </row>
    <row r="455" spans="1:10" ht="15.75" customHeight="1" x14ac:dyDescent="0.2">
      <c r="A455" s="1"/>
      <c r="B455" s="150"/>
      <c r="C455" s="179"/>
      <c r="D455" s="179"/>
      <c r="E455" s="180"/>
      <c r="F455" s="180"/>
      <c r="G455" s="179"/>
      <c r="H455" s="179"/>
      <c r="I455" s="179"/>
      <c r="J455" s="179"/>
    </row>
    <row r="456" spans="1:10" ht="15.75" customHeight="1" x14ac:dyDescent="0.2">
      <c r="A456" s="1"/>
      <c r="B456" s="150"/>
      <c r="C456" s="179"/>
      <c r="D456" s="179"/>
      <c r="E456" s="180"/>
      <c r="F456" s="180"/>
      <c r="G456" s="179"/>
      <c r="H456" s="179"/>
      <c r="I456" s="179"/>
      <c r="J456" s="179"/>
    </row>
    <row r="457" spans="1:10" ht="15.75" customHeight="1" x14ac:dyDescent="0.2">
      <c r="A457" s="1"/>
      <c r="B457" s="150"/>
      <c r="C457" s="179"/>
      <c r="D457" s="179"/>
      <c r="E457" s="180"/>
      <c r="F457" s="180"/>
      <c r="G457" s="179"/>
      <c r="H457" s="179"/>
      <c r="I457" s="179"/>
      <c r="J457" s="179"/>
    </row>
    <row r="458" spans="1:10" ht="15.75" customHeight="1" x14ac:dyDescent="0.2">
      <c r="A458" s="1"/>
      <c r="B458" s="150"/>
      <c r="C458" s="179"/>
      <c r="D458" s="179"/>
      <c r="E458" s="180"/>
      <c r="F458" s="180"/>
      <c r="G458" s="179"/>
      <c r="H458" s="179"/>
      <c r="I458" s="179"/>
      <c r="J458" s="179"/>
    </row>
    <row r="459" spans="1:10" ht="15.75" customHeight="1" x14ac:dyDescent="0.2">
      <c r="A459" s="1"/>
      <c r="B459" s="150"/>
      <c r="C459" s="179"/>
      <c r="D459" s="179"/>
      <c r="E459" s="180"/>
      <c r="F459" s="180"/>
      <c r="G459" s="179"/>
      <c r="H459" s="179"/>
      <c r="I459" s="179"/>
      <c r="J459" s="179"/>
    </row>
    <row r="460" spans="1:10" ht="15.75" customHeight="1" x14ac:dyDescent="0.2">
      <c r="A460" s="1"/>
      <c r="B460" s="150"/>
      <c r="C460" s="179"/>
      <c r="D460" s="179"/>
      <c r="E460" s="180"/>
      <c r="F460" s="180"/>
      <c r="G460" s="179"/>
      <c r="H460" s="179"/>
      <c r="I460" s="179"/>
      <c r="J460" s="179"/>
    </row>
    <row r="461" spans="1:10" ht="15.75" customHeight="1" x14ac:dyDescent="0.2">
      <c r="A461" s="1"/>
      <c r="B461" s="150"/>
      <c r="C461" s="179"/>
      <c r="D461" s="179"/>
      <c r="E461" s="180"/>
      <c r="F461" s="180"/>
      <c r="G461" s="179"/>
      <c r="H461" s="179"/>
      <c r="I461" s="179"/>
      <c r="J461" s="179"/>
    </row>
    <row r="462" spans="1:10" ht="15.75" customHeight="1" x14ac:dyDescent="0.2">
      <c r="A462" s="1"/>
      <c r="B462" s="150"/>
      <c r="C462" s="179"/>
      <c r="D462" s="179"/>
      <c r="E462" s="180"/>
      <c r="F462" s="180"/>
      <c r="G462" s="179"/>
      <c r="H462" s="179"/>
      <c r="I462" s="179"/>
      <c r="J462" s="179"/>
    </row>
    <row r="463" spans="1:10" ht="15.75" customHeight="1" x14ac:dyDescent="0.2">
      <c r="A463" s="1"/>
      <c r="B463" s="150"/>
      <c r="C463" s="179"/>
      <c r="D463" s="179"/>
      <c r="E463" s="180"/>
      <c r="F463" s="180"/>
      <c r="G463" s="179"/>
      <c r="H463" s="179"/>
      <c r="I463" s="179"/>
      <c r="J463" s="179"/>
    </row>
    <row r="464" spans="1:10" ht="15.75" customHeight="1" x14ac:dyDescent="0.2">
      <c r="A464" s="1"/>
      <c r="B464" s="150"/>
      <c r="C464" s="179"/>
      <c r="D464" s="179"/>
      <c r="E464" s="180"/>
      <c r="F464" s="180"/>
      <c r="G464" s="179"/>
      <c r="H464" s="179"/>
      <c r="I464" s="179"/>
      <c r="J464" s="179"/>
    </row>
    <row r="465" spans="1:10" ht="15.75" customHeight="1" x14ac:dyDescent="0.2">
      <c r="A465" s="1"/>
      <c r="B465" s="150"/>
      <c r="C465" s="179"/>
      <c r="D465" s="179"/>
      <c r="E465" s="180"/>
      <c r="F465" s="180"/>
      <c r="G465" s="179"/>
      <c r="H465" s="179"/>
      <c r="I465" s="179"/>
      <c r="J465" s="179"/>
    </row>
    <row r="466" spans="1:10" ht="15.75" customHeight="1" x14ac:dyDescent="0.2">
      <c r="A466" s="1"/>
      <c r="B466" s="150"/>
      <c r="C466" s="179"/>
      <c r="D466" s="179"/>
      <c r="E466" s="180"/>
      <c r="F466" s="180"/>
      <c r="G466" s="179"/>
      <c r="H466" s="179"/>
      <c r="I466" s="179"/>
      <c r="J466" s="179"/>
    </row>
    <row r="467" spans="1:10" ht="15.75" customHeight="1" x14ac:dyDescent="0.2">
      <c r="A467" s="1"/>
      <c r="B467" s="150"/>
      <c r="C467" s="179"/>
      <c r="D467" s="179"/>
      <c r="E467" s="180"/>
      <c r="F467" s="180"/>
      <c r="G467" s="179"/>
      <c r="H467" s="179"/>
      <c r="I467" s="179"/>
      <c r="J467" s="179"/>
    </row>
    <row r="468" spans="1:10" ht="15.75" customHeight="1" x14ac:dyDescent="0.2">
      <c r="A468" s="1"/>
      <c r="B468" s="150"/>
      <c r="C468" s="179"/>
      <c r="D468" s="179"/>
      <c r="E468" s="180"/>
      <c r="F468" s="180"/>
      <c r="G468" s="179"/>
      <c r="H468" s="179"/>
      <c r="I468" s="179"/>
      <c r="J468" s="179"/>
    </row>
    <row r="469" spans="1:10" ht="15.75" customHeight="1" x14ac:dyDescent="0.2">
      <c r="A469" s="1"/>
      <c r="B469" s="150"/>
      <c r="C469" s="179"/>
      <c r="D469" s="179"/>
      <c r="E469" s="180"/>
      <c r="F469" s="180"/>
      <c r="G469" s="179"/>
      <c r="H469" s="179"/>
      <c r="I469" s="179"/>
      <c r="J469" s="179"/>
    </row>
    <row r="470" spans="1:10" ht="15.75" customHeight="1" x14ac:dyDescent="0.2">
      <c r="A470" s="1"/>
      <c r="B470" s="150"/>
      <c r="C470" s="179"/>
      <c r="D470" s="179"/>
      <c r="E470" s="180"/>
      <c r="F470" s="180"/>
      <c r="G470" s="179"/>
      <c r="H470" s="179"/>
      <c r="I470" s="179"/>
      <c r="J470" s="179"/>
    </row>
    <row r="471" spans="1:10" ht="15.75" customHeight="1" x14ac:dyDescent="0.2">
      <c r="A471" s="1"/>
      <c r="B471" s="150"/>
      <c r="C471" s="179"/>
      <c r="D471" s="179"/>
      <c r="E471" s="180"/>
      <c r="F471" s="180"/>
      <c r="G471" s="179"/>
      <c r="H471" s="179"/>
      <c r="I471" s="179"/>
      <c r="J471" s="179"/>
    </row>
    <row r="472" spans="1:10" ht="15.75" customHeight="1" x14ac:dyDescent="0.2">
      <c r="A472" s="1"/>
      <c r="B472" s="150"/>
      <c r="C472" s="179"/>
      <c r="D472" s="179"/>
      <c r="E472" s="180"/>
      <c r="F472" s="180"/>
      <c r="G472" s="179"/>
      <c r="H472" s="179"/>
      <c r="I472" s="179"/>
      <c r="J472" s="179"/>
    </row>
    <row r="473" spans="1:10" ht="15.75" customHeight="1" x14ac:dyDescent="0.2">
      <c r="A473" s="1"/>
      <c r="B473" s="150"/>
      <c r="C473" s="179"/>
      <c r="D473" s="179"/>
      <c r="E473" s="180"/>
      <c r="F473" s="180"/>
      <c r="G473" s="179"/>
      <c r="H473" s="179"/>
      <c r="I473" s="179"/>
      <c r="J473" s="179"/>
    </row>
    <row r="474" spans="1:10" ht="15.75" customHeight="1" x14ac:dyDescent="0.2">
      <c r="A474" s="1"/>
      <c r="B474" s="150"/>
      <c r="C474" s="179"/>
      <c r="D474" s="179"/>
      <c r="E474" s="180"/>
      <c r="F474" s="180"/>
      <c r="G474" s="179"/>
      <c r="H474" s="179"/>
      <c r="I474" s="179"/>
      <c r="J474" s="179"/>
    </row>
    <row r="475" spans="1:10" ht="15.75" customHeight="1" x14ac:dyDescent="0.2">
      <c r="A475" s="1"/>
      <c r="B475" s="150"/>
      <c r="C475" s="179"/>
      <c r="D475" s="179"/>
      <c r="E475" s="180"/>
      <c r="F475" s="180"/>
      <c r="G475" s="179"/>
      <c r="H475" s="179"/>
      <c r="I475" s="179"/>
      <c r="J475" s="179"/>
    </row>
    <row r="476" spans="1:10" ht="15.75" customHeight="1" x14ac:dyDescent="0.2">
      <c r="A476" s="1"/>
      <c r="B476" s="150"/>
      <c r="C476" s="179"/>
      <c r="D476" s="179"/>
      <c r="E476" s="180"/>
      <c r="F476" s="180"/>
      <c r="G476" s="179"/>
      <c r="H476" s="179"/>
      <c r="I476" s="179"/>
      <c r="J476" s="179"/>
    </row>
    <row r="477" spans="1:10" ht="15.75" customHeight="1" x14ac:dyDescent="0.2">
      <c r="A477" s="1"/>
      <c r="B477" s="150"/>
      <c r="C477" s="179"/>
      <c r="D477" s="179"/>
      <c r="E477" s="180"/>
      <c r="F477" s="180"/>
      <c r="G477" s="179"/>
      <c r="H477" s="179"/>
      <c r="I477" s="179"/>
      <c r="J477" s="179"/>
    </row>
    <row r="478" spans="1:10" ht="15.75" customHeight="1" x14ac:dyDescent="0.2">
      <c r="A478" s="1"/>
      <c r="B478" s="150"/>
      <c r="C478" s="179"/>
      <c r="D478" s="179"/>
      <c r="E478" s="180"/>
      <c r="F478" s="180"/>
      <c r="G478" s="179"/>
      <c r="H478" s="179"/>
      <c r="I478" s="179"/>
      <c r="J478" s="179"/>
    </row>
    <row r="479" spans="1:10" ht="15.75" customHeight="1" x14ac:dyDescent="0.2">
      <c r="A479" s="1"/>
      <c r="B479" s="150"/>
      <c r="C479" s="179"/>
      <c r="D479" s="179"/>
      <c r="E479" s="180"/>
      <c r="F479" s="180"/>
      <c r="G479" s="179"/>
      <c r="H479" s="179"/>
      <c r="I479" s="179"/>
      <c r="J479" s="179"/>
    </row>
    <row r="480" spans="1:10" ht="15.75" customHeight="1" x14ac:dyDescent="0.2">
      <c r="A480" s="1"/>
      <c r="B480" s="150"/>
      <c r="C480" s="179"/>
      <c r="D480" s="179"/>
      <c r="E480" s="180"/>
      <c r="F480" s="180"/>
      <c r="G480" s="179"/>
      <c r="H480" s="179"/>
      <c r="I480" s="179"/>
      <c r="J480" s="179"/>
    </row>
    <row r="481" spans="1:10" ht="15.75" customHeight="1" x14ac:dyDescent="0.2">
      <c r="A481" s="1"/>
      <c r="B481" s="150"/>
      <c r="C481" s="179"/>
      <c r="D481" s="179"/>
      <c r="E481" s="180"/>
      <c r="F481" s="180"/>
      <c r="G481" s="179"/>
      <c r="H481" s="179"/>
      <c r="I481" s="179"/>
      <c r="J481" s="179"/>
    </row>
    <row r="482" spans="1:10" ht="15.75" customHeight="1" x14ac:dyDescent="0.2">
      <c r="A482" s="1"/>
      <c r="B482" s="150"/>
      <c r="C482" s="179"/>
      <c r="D482" s="179"/>
      <c r="E482" s="180"/>
      <c r="F482" s="180"/>
      <c r="G482" s="179"/>
      <c r="H482" s="179"/>
      <c r="I482" s="179"/>
      <c r="J482" s="179"/>
    </row>
    <row r="483" spans="1:10" ht="15.75" customHeight="1" x14ac:dyDescent="0.2">
      <c r="A483" s="1"/>
      <c r="B483" s="150"/>
      <c r="C483" s="179"/>
      <c r="D483" s="179"/>
      <c r="E483" s="180"/>
      <c r="F483" s="180"/>
      <c r="G483" s="179"/>
      <c r="H483" s="179"/>
      <c r="I483" s="179"/>
      <c r="J483" s="179"/>
    </row>
    <row r="484" spans="1:10" ht="15.75" customHeight="1" x14ac:dyDescent="0.2">
      <c r="A484" s="1"/>
      <c r="B484" s="150"/>
      <c r="C484" s="179"/>
      <c r="D484" s="179"/>
      <c r="E484" s="180"/>
      <c r="F484" s="180"/>
      <c r="G484" s="179"/>
      <c r="H484" s="179"/>
      <c r="I484" s="179"/>
      <c r="J484" s="179"/>
    </row>
    <row r="485" spans="1:10" ht="15.75" customHeight="1" x14ac:dyDescent="0.2">
      <c r="A485" s="1"/>
      <c r="B485" s="150"/>
      <c r="C485" s="179"/>
      <c r="D485" s="179"/>
      <c r="E485" s="180"/>
      <c r="F485" s="180"/>
      <c r="G485" s="179"/>
      <c r="H485" s="179"/>
      <c r="I485" s="179"/>
      <c r="J485" s="179"/>
    </row>
    <row r="486" spans="1:10" ht="15.75" customHeight="1" x14ac:dyDescent="0.2">
      <c r="A486" s="1"/>
      <c r="B486" s="150"/>
      <c r="C486" s="179"/>
      <c r="D486" s="179"/>
      <c r="E486" s="180"/>
      <c r="F486" s="180"/>
      <c r="G486" s="179"/>
      <c r="H486" s="179"/>
      <c r="I486" s="179"/>
      <c r="J486" s="179"/>
    </row>
    <row r="487" spans="1:10" ht="15.75" customHeight="1" x14ac:dyDescent="0.2">
      <c r="A487" s="1"/>
      <c r="B487" s="150"/>
      <c r="C487" s="179"/>
      <c r="D487" s="179"/>
      <c r="E487" s="180"/>
      <c r="F487" s="180"/>
      <c r="G487" s="179"/>
      <c r="H487" s="179"/>
      <c r="I487" s="179"/>
      <c r="J487" s="179"/>
    </row>
    <row r="488" spans="1:10" ht="15.75" customHeight="1" x14ac:dyDescent="0.2">
      <c r="A488" s="1"/>
      <c r="B488" s="150"/>
      <c r="C488" s="179"/>
      <c r="D488" s="179"/>
      <c r="E488" s="180"/>
      <c r="F488" s="180"/>
      <c r="G488" s="179"/>
      <c r="H488" s="179"/>
      <c r="I488" s="179"/>
      <c r="J488" s="179"/>
    </row>
    <row r="489" spans="1:10" ht="15.75" customHeight="1" x14ac:dyDescent="0.2">
      <c r="A489" s="1"/>
      <c r="B489" s="150"/>
      <c r="C489" s="179"/>
      <c r="D489" s="179"/>
      <c r="E489" s="180"/>
      <c r="F489" s="180"/>
      <c r="G489" s="179"/>
      <c r="H489" s="179"/>
      <c r="I489" s="179"/>
      <c r="J489" s="179"/>
    </row>
    <row r="490" spans="1:10" ht="15.75" customHeight="1" x14ac:dyDescent="0.2">
      <c r="A490" s="1"/>
      <c r="B490" s="150"/>
      <c r="C490" s="179"/>
      <c r="D490" s="179"/>
      <c r="E490" s="180"/>
      <c r="F490" s="180"/>
      <c r="G490" s="179"/>
      <c r="H490" s="179"/>
      <c r="I490" s="179"/>
      <c r="J490" s="179"/>
    </row>
    <row r="491" spans="1:10" ht="15.75" customHeight="1" x14ac:dyDescent="0.2">
      <c r="A491" s="1"/>
      <c r="B491" s="150"/>
      <c r="C491" s="179"/>
      <c r="D491" s="179"/>
      <c r="E491" s="180"/>
      <c r="F491" s="180"/>
      <c r="G491" s="179"/>
      <c r="H491" s="179"/>
      <c r="I491" s="179"/>
      <c r="J491" s="179"/>
    </row>
    <row r="492" spans="1:10" ht="15.75" customHeight="1" x14ac:dyDescent="0.2">
      <c r="A492" s="1"/>
      <c r="B492" s="150"/>
      <c r="C492" s="179"/>
      <c r="D492" s="179"/>
      <c r="E492" s="180"/>
      <c r="F492" s="180"/>
      <c r="G492" s="179"/>
      <c r="H492" s="179"/>
      <c r="I492" s="179"/>
      <c r="J492" s="179"/>
    </row>
    <row r="493" spans="1:10" ht="15.75" customHeight="1" x14ac:dyDescent="0.2">
      <c r="A493" s="1"/>
      <c r="B493" s="150"/>
      <c r="C493" s="179"/>
      <c r="D493" s="179"/>
      <c r="E493" s="180"/>
      <c r="F493" s="180"/>
      <c r="G493" s="179"/>
      <c r="H493" s="179"/>
      <c r="I493" s="179"/>
      <c r="J493" s="179"/>
    </row>
    <row r="494" spans="1:10" ht="15.75" customHeight="1" x14ac:dyDescent="0.2">
      <c r="A494" s="1"/>
      <c r="B494" s="150"/>
      <c r="C494" s="179"/>
      <c r="D494" s="179"/>
      <c r="E494" s="180"/>
      <c r="F494" s="180"/>
      <c r="G494" s="179"/>
      <c r="H494" s="179"/>
      <c r="I494" s="179"/>
      <c r="J494" s="179"/>
    </row>
    <row r="495" spans="1:10" ht="15.75" customHeight="1" x14ac:dyDescent="0.2">
      <c r="A495" s="1"/>
      <c r="B495" s="150"/>
      <c r="C495" s="179"/>
      <c r="D495" s="179"/>
      <c r="E495" s="180"/>
      <c r="F495" s="180"/>
      <c r="G495" s="179"/>
      <c r="H495" s="179"/>
      <c r="I495" s="179"/>
      <c r="J495" s="179"/>
    </row>
    <row r="496" spans="1:10" ht="15.75" customHeight="1" x14ac:dyDescent="0.2">
      <c r="A496" s="1"/>
      <c r="B496" s="150"/>
      <c r="C496" s="179"/>
      <c r="D496" s="179"/>
      <c r="E496" s="180"/>
      <c r="F496" s="180"/>
      <c r="G496" s="179"/>
      <c r="H496" s="179"/>
      <c r="I496" s="179"/>
      <c r="J496" s="179"/>
    </row>
    <row r="497" spans="1:10" ht="15.75" customHeight="1" x14ac:dyDescent="0.2">
      <c r="A497" s="1"/>
      <c r="B497" s="150"/>
      <c r="C497" s="179"/>
      <c r="D497" s="179"/>
      <c r="E497" s="180"/>
      <c r="F497" s="180"/>
      <c r="G497" s="179"/>
      <c r="H497" s="179"/>
      <c r="I497" s="179"/>
      <c r="J497" s="179"/>
    </row>
    <row r="498" spans="1:10" ht="15.75" customHeight="1" x14ac:dyDescent="0.2">
      <c r="A498" s="1"/>
      <c r="B498" s="150"/>
      <c r="C498" s="179"/>
      <c r="D498" s="179"/>
      <c r="E498" s="180"/>
      <c r="F498" s="180"/>
      <c r="G498" s="179"/>
      <c r="H498" s="179"/>
      <c r="I498" s="179"/>
      <c r="J498" s="179"/>
    </row>
    <row r="499" spans="1:10" ht="15.75" customHeight="1" x14ac:dyDescent="0.2">
      <c r="A499" s="1"/>
      <c r="B499" s="150"/>
      <c r="C499" s="179"/>
      <c r="D499" s="179"/>
      <c r="E499" s="180"/>
      <c r="F499" s="180"/>
      <c r="G499" s="179"/>
      <c r="H499" s="179"/>
      <c r="I499" s="179"/>
      <c r="J499" s="179"/>
    </row>
    <row r="500" spans="1:10" ht="15.75" customHeight="1" x14ac:dyDescent="0.2">
      <c r="A500" s="1"/>
      <c r="B500" s="150"/>
      <c r="C500" s="179"/>
      <c r="D500" s="179"/>
      <c r="E500" s="180"/>
      <c r="F500" s="180"/>
      <c r="G500" s="179"/>
      <c r="H500" s="179"/>
      <c r="I500" s="179"/>
      <c r="J500" s="179"/>
    </row>
    <row r="501" spans="1:10" ht="15.75" customHeight="1" x14ac:dyDescent="0.2">
      <c r="A501" s="1"/>
      <c r="B501" s="150"/>
      <c r="C501" s="179"/>
      <c r="D501" s="179"/>
      <c r="E501" s="180"/>
      <c r="F501" s="180"/>
      <c r="G501" s="179"/>
      <c r="H501" s="179"/>
      <c r="I501" s="179"/>
      <c r="J501" s="179"/>
    </row>
    <row r="502" spans="1:10" ht="15.75" customHeight="1" x14ac:dyDescent="0.2">
      <c r="A502" s="1"/>
      <c r="B502" s="150"/>
      <c r="C502" s="179"/>
      <c r="D502" s="179"/>
      <c r="E502" s="180"/>
      <c r="F502" s="180"/>
      <c r="G502" s="179"/>
      <c r="H502" s="179"/>
      <c r="I502" s="179"/>
      <c r="J502" s="179"/>
    </row>
    <row r="503" spans="1:10" ht="15.75" customHeight="1" x14ac:dyDescent="0.2">
      <c r="A503" s="1"/>
      <c r="B503" s="150"/>
      <c r="C503" s="179"/>
      <c r="D503" s="179"/>
      <c r="E503" s="180"/>
      <c r="F503" s="180"/>
      <c r="G503" s="179"/>
      <c r="H503" s="179"/>
      <c r="I503" s="179"/>
      <c r="J503" s="179"/>
    </row>
    <row r="504" spans="1:10" ht="15.75" customHeight="1" x14ac:dyDescent="0.2">
      <c r="A504" s="1"/>
      <c r="B504" s="150"/>
      <c r="C504" s="179"/>
      <c r="D504" s="179"/>
      <c r="E504" s="180"/>
      <c r="F504" s="180"/>
      <c r="G504" s="179"/>
      <c r="H504" s="179"/>
      <c r="I504" s="179"/>
      <c r="J504" s="179"/>
    </row>
    <row r="505" spans="1:10" ht="15.75" customHeight="1" x14ac:dyDescent="0.2">
      <c r="A505" s="1"/>
      <c r="B505" s="150"/>
      <c r="C505" s="179"/>
      <c r="D505" s="179"/>
      <c r="E505" s="180"/>
      <c r="F505" s="180"/>
      <c r="G505" s="179"/>
      <c r="H505" s="179"/>
      <c r="I505" s="179"/>
      <c r="J505" s="179"/>
    </row>
    <row r="506" spans="1:10" ht="15.75" customHeight="1" x14ac:dyDescent="0.2">
      <c r="A506" s="1"/>
      <c r="B506" s="150"/>
      <c r="C506" s="179"/>
      <c r="D506" s="179"/>
      <c r="E506" s="180"/>
      <c r="F506" s="180"/>
      <c r="G506" s="179"/>
      <c r="H506" s="179"/>
      <c r="I506" s="179"/>
      <c r="J506" s="179"/>
    </row>
    <row r="507" spans="1:10" ht="15.75" customHeight="1" x14ac:dyDescent="0.2">
      <c r="A507" s="1"/>
      <c r="B507" s="150"/>
      <c r="C507" s="179"/>
      <c r="D507" s="179"/>
      <c r="E507" s="180"/>
      <c r="F507" s="180"/>
      <c r="G507" s="179"/>
      <c r="H507" s="179"/>
      <c r="I507" s="179"/>
      <c r="J507" s="179"/>
    </row>
    <row r="508" spans="1:10" ht="15.75" customHeight="1" x14ac:dyDescent="0.2">
      <c r="A508" s="1"/>
      <c r="B508" s="150"/>
      <c r="C508" s="179"/>
      <c r="D508" s="179"/>
      <c r="E508" s="180"/>
      <c r="F508" s="180"/>
      <c r="G508" s="179"/>
      <c r="H508" s="179"/>
      <c r="I508" s="179"/>
      <c r="J508" s="179"/>
    </row>
    <row r="509" spans="1:10" ht="15.75" customHeight="1" x14ac:dyDescent="0.2">
      <c r="A509" s="1"/>
      <c r="B509" s="150"/>
      <c r="C509" s="179"/>
      <c r="D509" s="179"/>
      <c r="E509" s="180"/>
      <c r="F509" s="180"/>
      <c r="G509" s="179"/>
      <c r="H509" s="179"/>
      <c r="I509" s="179"/>
      <c r="J509" s="179"/>
    </row>
    <row r="510" spans="1:10" ht="15.75" customHeight="1" x14ac:dyDescent="0.2">
      <c r="A510" s="1"/>
      <c r="B510" s="150"/>
      <c r="C510" s="179"/>
      <c r="D510" s="179"/>
      <c r="E510" s="180"/>
      <c r="F510" s="180"/>
      <c r="G510" s="179"/>
      <c r="H510" s="179"/>
      <c r="I510" s="179"/>
      <c r="J510" s="179"/>
    </row>
    <row r="511" spans="1:10" ht="15.75" customHeight="1" x14ac:dyDescent="0.2">
      <c r="A511" s="1"/>
      <c r="B511" s="150"/>
      <c r="C511" s="179"/>
      <c r="D511" s="179"/>
      <c r="E511" s="180"/>
      <c r="F511" s="180"/>
      <c r="G511" s="179"/>
      <c r="H511" s="179"/>
      <c r="I511" s="179"/>
      <c r="J511" s="179"/>
    </row>
    <row r="512" spans="1:10" ht="15.75" customHeight="1" x14ac:dyDescent="0.2">
      <c r="A512" s="1"/>
      <c r="B512" s="150"/>
      <c r="C512" s="179"/>
      <c r="D512" s="179"/>
      <c r="E512" s="180"/>
      <c r="F512" s="180"/>
      <c r="G512" s="179"/>
      <c r="H512" s="179"/>
      <c r="I512" s="179"/>
      <c r="J512" s="179"/>
    </row>
    <row r="513" spans="1:10" ht="15.75" customHeight="1" x14ac:dyDescent="0.2">
      <c r="A513" s="1"/>
      <c r="B513" s="150"/>
      <c r="C513" s="179"/>
      <c r="D513" s="179"/>
      <c r="E513" s="180"/>
      <c r="F513" s="180"/>
      <c r="G513" s="179"/>
      <c r="H513" s="179"/>
      <c r="I513" s="179"/>
      <c r="J513" s="179"/>
    </row>
    <row r="514" spans="1:10" ht="15.75" customHeight="1" x14ac:dyDescent="0.2">
      <c r="A514" s="1"/>
      <c r="B514" s="150"/>
      <c r="C514" s="179"/>
      <c r="D514" s="179"/>
      <c r="E514" s="180"/>
      <c r="F514" s="180"/>
      <c r="G514" s="179"/>
      <c r="H514" s="179"/>
      <c r="I514" s="179"/>
      <c r="J514" s="179"/>
    </row>
    <row r="515" spans="1:10" ht="15.75" customHeight="1" x14ac:dyDescent="0.2">
      <c r="A515" s="1"/>
      <c r="B515" s="150"/>
      <c r="C515" s="179"/>
      <c r="D515" s="179"/>
      <c r="E515" s="180"/>
      <c r="F515" s="180"/>
      <c r="G515" s="179"/>
      <c r="H515" s="179"/>
      <c r="I515" s="179"/>
      <c r="J515" s="179"/>
    </row>
    <row r="516" spans="1:10" ht="15.75" customHeight="1" x14ac:dyDescent="0.2">
      <c r="A516" s="1"/>
      <c r="B516" s="150"/>
      <c r="C516" s="179"/>
      <c r="D516" s="179"/>
      <c r="E516" s="180"/>
      <c r="F516" s="180"/>
      <c r="G516" s="179"/>
      <c r="H516" s="179"/>
      <c r="I516" s="179"/>
      <c r="J516" s="179"/>
    </row>
    <row r="517" spans="1:10" ht="15.75" customHeight="1" x14ac:dyDescent="0.2">
      <c r="A517" s="1"/>
      <c r="B517" s="150"/>
      <c r="C517" s="179"/>
      <c r="D517" s="179"/>
      <c r="E517" s="180"/>
      <c r="F517" s="180"/>
      <c r="G517" s="179"/>
      <c r="H517" s="179"/>
      <c r="I517" s="179"/>
      <c r="J517" s="179"/>
    </row>
    <row r="518" spans="1:10" ht="15.75" customHeight="1" x14ac:dyDescent="0.2">
      <c r="A518" s="1"/>
      <c r="B518" s="150"/>
      <c r="C518" s="179"/>
      <c r="D518" s="179"/>
      <c r="E518" s="180"/>
      <c r="F518" s="180"/>
      <c r="G518" s="179"/>
      <c r="H518" s="179"/>
      <c r="I518" s="179"/>
      <c r="J518" s="179"/>
    </row>
    <row r="519" spans="1:10" ht="15.75" customHeight="1" x14ac:dyDescent="0.2">
      <c r="A519" s="1"/>
      <c r="B519" s="150"/>
      <c r="C519" s="179"/>
      <c r="D519" s="179"/>
      <c r="E519" s="180"/>
      <c r="F519" s="180"/>
      <c r="G519" s="179"/>
      <c r="H519" s="179"/>
      <c r="I519" s="179"/>
      <c r="J519" s="179"/>
    </row>
    <row r="520" spans="1:10" ht="15.75" customHeight="1" x14ac:dyDescent="0.2">
      <c r="A520" s="1"/>
      <c r="B520" s="150"/>
      <c r="C520" s="179"/>
      <c r="D520" s="179"/>
      <c r="E520" s="180"/>
      <c r="F520" s="180"/>
      <c r="G520" s="179"/>
      <c r="H520" s="179"/>
      <c r="I520" s="179"/>
      <c r="J520" s="179"/>
    </row>
    <row r="521" spans="1:10" ht="15.75" customHeight="1" x14ac:dyDescent="0.2">
      <c r="A521" s="1"/>
      <c r="B521" s="150"/>
      <c r="C521" s="179"/>
      <c r="D521" s="179"/>
      <c r="E521" s="180"/>
      <c r="F521" s="180"/>
      <c r="G521" s="179"/>
      <c r="H521" s="179"/>
      <c r="I521" s="179"/>
      <c r="J521" s="179"/>
    </row>
    <row r="522" spans="1:10" ht="15.75" customHeight="1" x14ac:dyDescent="0.2">
      <c r="A522" s="1"/>
      <c r="B522" s="150"/>
      <c r="C522" s="179"/>
      <c r="D522" s="179"/>
      <c r="E522" s="180"/>
      <c r="F522" s="180"/>
      <c r="G522" s="179"/>
      <c r="H522" s="179"/>
      <c r="I522" s="179"/>
      <c r="J522" s="179"/>
    </row>
    <row r="523" spans="1:10" ht="15.75" customHeight="1" x14ac:dyDescent="0.2">
      <c r="A523" s="1"/>
      <c r="B523" s="150"/>
      <c r="C523" s="179"/>
      <c r="D523" s="179"/>
      <c r="E523" s="180"/>
      <c r="F523" s="180"/>
      <c r="G523" s="179"/>
      <c r="H523" s="179"/>
      <c r="I523" s="179"/>
      <c r="J523" s="179"/>
    </row>
    <row r="524" spans="1:10" ht="15.75" customHeight="1" x14ac:dyDescent="0.2">
      <c r="A524" s="1"/>
      <c r="B524" s="150"/>
      <c r="C524" s="179"/>
      <c r="D524" s="179"/>
      <c r="E524" s="180"/>
      <c r="F524" s="180"/>
      <c r="G524" s="179"/>
      <c r="H524" s="179"/>
      <c r="I524" s="179"/>
      <c r="J524" s="179"/>
    </row>
    <row r="525" spans="1:10" ht="15.75" customHeight="1" x14ac:dyDescent="0.2">
      <c r="A525" s="1"/>
      <c r="B525" s="150"/>
      <c r="C525" s="179"/>
      <c r="D525" s="179"/>
      <c r="E525" s="180"/>
      <c r="F525" s="180"/>
      <c r="G525" s="179"/>
      <c r="H525" s="179"/>
      <c r="I525" s="179"/>
      <c r="J525" s="179"/>
    </row>
    <row r="526" spans="1:10" ht="15.75" customHeight="1" x14ac:dyDescent="0.2">
      <c r="A526" s="1"/>
      <c r="B526" s="150"/>
      <c r="C526" s="179"/>
      <c r="D526" s="179"/>
      <c r="E526" s="180"/>
      <c r="F526" s="180"/>
      <c r="G526" s="179"/>
      <c r="H526" s="179"/>
      <c r="I526" s="179"/>
      <c r="J526" s="179"/>
    </row>
    <row r="527" spans="1:10" ht="15.75" customHeight="1" x14ac:dyDescent="0.2">
      <c r="A527" s="1"/>
      <c r="B527" s="150"/>
      <c r="C527" s="179"/>
      <c r="D527" s="179"/>
      <c r="E527" s="180"/>
      <c r="F527" s="180"/>
      <c r="G527" s="179"/>
      <c r="H527" s="179"/>
      <c r="I527" s="179"/>
      <c r="J527" s="179"/>
    </row>
    <row r="528" spans="1:10" ht="15.75" customHeight="1" x14ac:dyDescent="0.2">
      <c r="A528" s="1"/>
      <c r="B528" s="150"/>
      <c r="C528" s="179"/>
      <c r="D528" s="179"/>
      <c r="E528" s="180"/>
      <c r="F528" s="180"/>
      <c r="G528" s="179"/>
      <c r="H528" s="179"/>
      <c r="I528" s="179"/>
      <c r="J528" s="179"/>
    </row>
    <row r="529" spans="1:10" ht="15.75" customHeight="1" x14ac:dyDescent="0.2">
      <c r="A529" s="1"/>
      <c r="B529" s="150"/>
      <c r="C529" s="179"/>
      <c r="D529" s="179"/>
      <c r="E529" s="180"/>
      <c r="F529" s="180"/>
      <c r="G529" s="179"/>
      <c r="H529" s="179"/>
      <c r="I529" s="179"/>
      <c r="J529" s="179"/>
    </row>
    <row r="530" spans="1:10" ht="15.75" customHeight="1" x14ac:dyDescent="0.2">
      <c r="A530" s="1"/>
      <c r="B530" s="150"/>
      <c r="C530" s="179"/>
      <c r="D530" s="179"/>
      <c r="E530" s="180"/>
      <c r="F530" s="180"/>
      <c r="G530" s="179"/>
      <c r="H530" s="179"/>
      <c r="I530" s="179"/>
      <c r="J530" s="179"/>
    </row>
    <row r="531" spans="1:10" ht="15.75" customHeight="1" x14ac:dyDescent="0.2">
      <c r="A531" s="1"/>
      <c r="B531" s="150"/>
      <c r="C531" s="179"/>
      <c r="D531" s="179"/>
      <c r="E531" s="180"/>
      <c r="F531" s="180"/>
      <c r="G531" s="179"/>
      <c r="H531" s="179"/>
      <c r="I531" s="179"/>
      <c r="J531" s="179"/>
    </row>
    <row r="532" spans="1:10" ht="15.75" customHeight="1" x14ac:dyDescent="0.2">
      <c r="A532" s="1"/>
      <c r="B532" s="150"/>
      <c r="C532" s="179"/>
      <c r="D532" s="179"/>
      <c r="E532" s="180"/>
      <c r="F532" s="180"/>
      <c r="G532" s="179"/>
      <c r="H532" s="179"/>
      <c r="I532" s="179"/>
      <c r="J532" s="179"/>
    </row>
    <row r="533" spans="1:10" ht="15.75" customHeight="1" x14ac:dyDescent="0.2">
      <c r="A533" s="1"/>
      <c r="B533" s="150"/>
      <c r="C533" s="179"/>
      <c r="D533" s="179"/>
      <c r="E533" s="180"/>
      <c r="F533" s="180"/>
      <c r="G533" s="179"/>
      <c r="H533" s="179"/>
      <c r="I533" s="179"/>
      <c r="J533" s="179"/>
    </row>
    <row r="534" spans="1:10" ht="15.75" customHeight="1" x14ac:dyDescent="0.2">
      <c r="A534" s="1"/>
      <c r="B534" s="150"/>
      <c r="C534" s="179"/>
      <c r="D534" s="179"/>
      <c r="E534" s="180"/>
      <c r="F534" s="180"/>
      <c r="G534" s="179"/>
      <c r="H534" s="179"/>
      <c r="I534" s="179"/>
      <c r="J534" s="179"/>
    </row>
    <row r="535" spans="1:10" ht="15.75" customHeight="1" x14ac:dyDescent="0.2">
      <c r="A535" s="1"/>
      <c r="B535" s="150"/>
      <c r="C535" s="179"/>
      <c r="D535" s="179"/>
      <c r="E535" s="180"/>
      <c r="F535" s="180"/>
      <c r="G535" s="179"/>
      <c r="H535" s="179"/>
      <c r="I535" s="179"/>
      <c r="J535" s="179"/>
    </row>
    <row r="536" spans="1:10" ht="15.75" customHeight="1" x14ac:dyDescent="0.2">
      <c r="A536" s="1"/>
      <c r="B536" s="150"/>
      <c r="C536" s="179"/>
      <c r="D536" s="179"/>
      <c r="E536" s="180"/>
      <c r="F536" s="180"/>
      <c r="G536" s="179"/>
      <c r="H536" s="179"/>
      <c r="I536" s="179"/>
      <c r="J536" s="179"/>
    </row>
    <row r="537" spans="1:10" ht="15.75" customHeight="1" x14ac:dyDescent="0.2">
      <c r="A537" s="1"/>
      <c r="B537" s="150"/>
      <c r="C537" s="179"/>
      <c r="D537" s="179"/>
      <c r="E537" s="180"/>
      <c r="F537" s="180"/>
      <c r="G537" s="179"/>
      <c r="H537" s="179"/>
      <c r="I537" s="179"/>
      <c r="J537" s="179"/>
    </row>
    <row r="538" spans="1:10" ht="15.75" customHeight="1" x14ac:dyDescent="0.2">
      <c r="A538" s="1"/>
      <c r="B538" s="150"/>
      <c r="C538" s="179"/>
      <c r="D538" s="179"/>
      <c r="E538" s="180"/>
      <c r="F538" s="180"/>
      <c r="G538" s="179"/>
      <c r="H538" s="179"/>
      <c r="I538" s="179"/>
      <c r="J538" s="179"/>
    </row>
    <row r="539" spans="1:10" ht="15.75" customHeight="1" x14ac:dyDescent="0.2">
      <c r="A539" s="1"/>
      <c r="B539" s="150"/>
      <c r="C539" s="179"/>
      <c r="D539" s="179"/>
      <c r="E539" s="180"/>
      <c r="F539" s="180"/>
      <c r="G539" s="179"/>
      <c r="H539" s="179"/>
      <c r="I539" s="179"/>
      <c r="J539" s="179"/>
    </row>
    <row r="540" spans="1:10" ht="15.75" customHeight="1" x14ac:dyDescent="0.2">
      <c r="A540" s="1"/>
      <c r="B540" s="150"/>
      <c r="C540" s="179"/>
      <c r="D540" s="179"/>
      <c r="E540" s="180"/>
      <c r="F540" s="180"/>
      <c r="G540" s="179"/>
      <c r="H540" s="179"/>
      <c r="I540" s="179"/>
      <c r="J540" s="179"/>
    </row>
    <row r="541" spans="1:10" ht="15.75" customHeight="1" x14ac:dyDescent="0.2">
      <c r="A541" s="1"/>
      <c r="B541" s="150"/>
      <c r="C541" s="179"/>
      <c r="D541" s="179"/>
      <c r="E541" s="180"/>
      <c r="F541" s="180"/>
      <c r="G541" s="179"/>
      <c r="H541" s="179"/>
      <c r="I541" s="179"/>
      <c r="J541" s="179"/>
    </row>
    <row r="542" spans="1:10" ht="15.75" customHeight="1" x14ac:dyDescent="0.2">
      <c r="A542" s="1"/>
      <c r="B542" s="150"/>
      <c r="C542" s="179"/>
      <c r="D542" s="179"/>
      <c r="E542" s="180"/>
      <c r="F542" s="180"/>
      <c r="G542" s="179"/>
      <c r="H542" s="179"/>
      <c r="I542" s="179"/>
      <c r="J542" s="179"/>
    </row>
    <row r="543" spans="1:10" ht="15.75" customHeight="1" x14ac:dyDescent="0.2">
      <c r="A543" s="1"/>
      <c r="B543" s="150"/>
      <c r="C543" s="179"/>
      <c r="D543" s="179"/>
      <c r="E543" s="180"/>
      <c r="F543" s="180"/>
      <c r="G543" s="179"/>
      <c r="H543" s="179"/>
      <c r="I543" s="179"/>
      <c r="J543" s="179"/>
    </row>
    <row r="544" spans="1:10" ht="15.75" customHeight="1" x14ac:dyDescent="0.2">
      <c r="A544" s="1"/>
      <c r="B544" s="150"/>
      <c r="C544" s="179"/>
      <c r="D544" s="179"/>
      <c r="E544" s="180"/>
      <c r="F544" s="180"/>
      <c r="G544" s="179"/>
      <c r="H544" s="179"/>
      <c r="I544" s="179"/>
      <c r="J544" s="179"/>
    </row>
    <row r="545" spans="1:10" ht="15.75" customHeight="1" x14ac:dyDescent="0.2">
      <c r="A545" s="1"/>
      <c r="B545" s="150"/>
      <c r="C545" s="179"/>
      <c r="D545" s="179"/>
      <c r="E545" s="180"/>
      <c r="F545" s="180"/>
      <c r="G545" s="179"/>
      <c r="H545" s="179"/>
      <c r="I545" s="179"/>
      <c r="J545" s="179"/>
    </row>
    <row r="546" spans="1:10" ht="15.75" customHeight="1" x14ac:dyDescent="0.2">
      <c r="A546" s="1"/>
      <c r="B546" s="150"/>
      <c r="C546" s="179"/>
      <c r="D546" s="179"/>
      <c r="E546" s="180"/>
      <c r="F546" s="180"/>
      <c r="G546" s="179"/>
      <c r="H546" s="179"/>
      <c r="I546" s="179"/>
      <c r="J546" s="179"/>
    </row>
    <row r="547" spans="1:10" ht="15.75" customHeight="1" x14ac:dyDescent="0.2">
      <c r="A547" s="1"/>
      <c r="B547" s="150"/>
      <c r="C547" s="179"/>
      <c r="D547" s="179"/>
      <c r="E547" s="180"/>
      <c r="F547" s="180"/>
      <c r="G547" s="179"/>
      <c r="H547" s="179"/>
      <c r="I547" s="179"/>
      <c r="J547" s="179"/>
    </row>
    <row r="548" spans="1:10" ht="15.75" customHeight="1" x14ac:dyDescent="0.2">
      <c r="A548" s="1"/>
      <c r="B548" s="150"/>
      <c r="C548" s="179"/>
      <c r="D548" s="179"/>
      <c r="E548" s="180"/>
      <c r="F548" s="180"/>
      <c r="G548" s="179"/>
      <c r="H548" s="179"/>
      <c r="I548" s="179"/>
      <c r="J548" s="179"/>
    </row>
    <row r="549" spans="1:10" ht="15.75" customHeight="1" x14ac:dyDescent="0.2">
      <c r="A549" s="1"/>
      <c r="B549" s="150"/>
      <c r="C549" s="179"/>
      <c r="D549" s="179"/>
      <c r="E549" s="180"/>
      <c r="F549" s="180"/>
      <c r="G549" s="179"/>
      <c r="H549" s="179"/>
      <c r="I549" s="179"/>
      <c r="J549" s="179"/>
    </row>
    <row r="550" spans="1:10" ht="15.75" customHeight="1" x14ac:dyDescent="0.2">
      <c r="A550" s="1"/>
      <c r="B550" s="150"/>
      <c r="C550" s="179"/>
      <c r="D550" s="179"/>
      <c r="E550" s="180"/>
      <c r="F550" s="180"/>
      <c r="G550" s="179"/>
      <c r="H550" s="179"/>
      <c r="I550" s="179"/>
      <c r="J550" s="179"/>
    </row>
    <row r="551" spans="1:10" ht="15.75" customHeight="1" x14ac:dyDescent="0.2">
      <c r="A551" s="1"/>
      <c r="B551" s="150"/>
      <c r="C551" s="179"/>
      <c r="D551" s="179"/>
      <c r="E551" s="180"/>
      <c r="F551" s="180"/>
      <c r="G551" s="179"/>
      <c r="H551" s="179"/>
      <c r="I551" s="179"/>
      <c r="J551" s="179"/>
    </row>
    <row r="552" spans="1:10" ht="15.75" customHeight="1" x14ac:dyDescent="0.2">
      <c r="A552" s="1"/>
      <c r="B552" s="150"/>
      <c r="C552" s="179"/>
      <c r="D552" s="179"/>
      <c r="E552" s="180"/>
      <c r="F552" s="180"/>
      <c r="G552" s="179"/>
      <c r="H552" s="179"/>
      <c r="I552" s="179"/>
      <c r="J552" s="179"/>
    </row>
    <row r="553" spans="1:10" ht="15.75" customHeight="1" x14ac:dyDescent="0.2">
      <c r="A553" s="1"/>
      <c r="B553" s="150"/>
      <c r="C553" s="179"/>
      <c r="D553" s="179"/>
      <c r="E553" s="180"/>
      <c r="F553" s="180"/>
      <c r="G553" s="179"/>
      <c r="H553" s="179"/>
      <c r="I553" s="179"/>
      <c r="J553" s="179"/>
    </row>
    <row r="554" spans="1:10" ht="15.75" customHeight="1" x14ac:dyDescent="0.2">
      <c r="A554" s="1"/>
      <c r="B554" s="150"/>
      <c r="C554" s="179"/>
      <c r="D554" s="179"/>
      <c r="E554" s="180"/>
      <c r="F554" s="180"/>
      <c r="G554" s="179"/>
      <c r="H554" s="179"/>
      <c r="I554" s="179"/>
      <c r="J554" s="179"/>
    </row>
    <row r="555" spans="1:10" ht="15.75" customHeight="1" x14ac:dyDescent="0.2">
      <c r="A555" s="1"/>
      <c r="B555" s="150"/>
      <c r="C555" s="179"/>
      <c r="D555" s="179"/>
      <c r="E555" s="180"/>
      <c r="F555" s="180"/>
      <c r="G555" s="179"/>
      <c r="H555" s="179"/>
      <c r="I555" s="179"/>
      <c r="J555" s="179"/>
    </row>
    <row r="556" spans="1:10" ht="15.75" customHeight="1" x14ac:dyDescent="0.2">
      <c r="A556" s="1"/>
      <c r="B556" s="150"/>
      <c r="C556" s="179"/>
      <c r="D556" s="179"/>
      <c r="E556" s="180"/>
      <c r="F556" s="180"/>
      <c r="G556" s="179"/>
      <c r="H556" s="179"/>
      <c r="I556" s="179"/>
      <c r="J556" s="179"/>
    </row>
    <row r="557" spans="1:10" ht="15.75" customHeight="1" x14ac:dyDescent="0.2">
      <c r="A557" s="1"/>
      <c r="B557" s="150"/>
      <c r="C557" s="179"/>
      <c r="D557" s="179"/>
      <c r="E557" s="180"/>
      <c r="F557" s="180"/>
      <c r="G557" s="179"/>
      <c r="H557" s="179"/>
      <c r="I557" s="179"/>
      <c r="J557" s="179"/>
    </row>
    <row r="558" spans="1:10" ht="15.75" customHeight="1" x14ac:dyDescent="0.2">
      <c r="A558" s="1"/>
      <c r="B558" s="150"/>
      <c r="C558" s="179"/>
      <c r="D558" s="179"/>
      <c r="E558" s="180"/>
      <c r="F558" s="180"/>
      <c r="G558" s="179"/>
      <c r="H558" s="179"/>
      <c r="I558" s="179"/>
      <c r="J558" s="179"/>
    </row>
    <row r="559" spans="1:10" ht="15.75" customHeight="1" x14ac:dyDescent="0.2">
      <c r="A559" s="1"/>
      <c r="B559" s="150"/>
      <c r="C559" s="179"/>
      <c r="D559" s="179"/>
      <c r="E559" s="180"/>
      <c r="F559" s="180"/>
      <c r="G559" s="179"/>
      <c r="H559" s="179"/>
      <c r="I559" s="179"/>
      <c r="J559" s="179"/>
    </row>
    <row r="560" spans="1:10" ht="15.75" customHeight="1" x14ac:dyDescent="0.2">
      <c r="A560" s="1"/>
      <c r="B560" s="150"/>
      <c r="C560" s="179"/>
      <c r="D560" s="179"/>
      <c r="E560" s="180"/>
      <c r="F560" s="180"/>
      <c r="G560" s="179"/>
      <c r="H560" s="179"/>
      <c r="I560" s="179"/>
      <c r="J560" s="179"/>
    </row>
    <row r="561" spans="1:10" ht="15.75" customHeight="1" x14ac:dyDescent="0.2">
      <c r="A561" s="1"/>
      <c r="B561" s="150"/>
      <c r="C561" s="179"/>
      <c r="D561" s="179"/>
      <c r="E561" s="180"/>
      <c r="F561" s="180"/>
      <c r="G561" s="179"/>
      <c r="H561" s="179"/>
      <c r="I561" s="179"/>
      <c r="J561" s="179"/>
    </row>
    <row r="562" spans="1:10" ht="15.75" customHeight="1" x14ac:dyDescent="0.2">
      <c r="A562" s="1"/>
      <c r="B562" s="150"/>
      <c r="C562" s="179"/>
      <c r="D562" s="179"/>
      <c r="E562" s="180"/>
      <c r="F562" s="180"/>
      <c r="G562" s="179"/>
      <c r="H562" s="179"/>
      <c r="I562" s="179"/>
      <c r="J562" s="179"/>
    </row>
    <row r="563" spans="1:10" ht="15.75" customHeight="1" x14ac:dyDescent="0.2">
      <c r="A563" s="1"/>
      <c r="B563" s="150"/>
      <c r="C563" s="179"/>
      <c r="D563" s="179"/>
      <c r="E563" s="180"/>
      <c r="F563" s="180"/>
      <c r="G563" s="179"/>
      <c r="H563" s="179"/>
      <c r="I563" s="179"/>
      <c r="J563" s="179"/>
    </row>
    <row r="564" spans="1:10" ht="15.75" customHeight="1" x14ac:dyDescent="0.2">
      <c r="A564" s="1"/>
      <c r="B564" s="150"/>
      <c r="C564" s="179"/>
      <c r="D564" s="179"/>
      <c r="E564" s="180"/>
      <c r="F564" s="180"/>
      <c r="G564" s="179"/>
      <c r="H564" s="179"/>
      <c r="I564" s="179"/>
      <c r="J564" s="179"/>
    </row>
    <row r="565" spans="1:10" ht="15.75" customHeight="1" x14ac:dyDescent="0.2">
      <c r="A565" s="1"/>
      <c r="B565" s="150"/>
      <c r="C565" s="179"/>
      <c r="D565" s="179"/>
      <c r="E565" s="180"/>
      <c r="F565" s="180"/>
      <c r="G565" s="179"/>
      <c r="H565" s="179"/>
      <c r="I565" s="179"/>
      <c r="J565" s="179"/>
    </row>
    <row r="566" spans="1:10" ht="15.75" customHeight="1" x14ac:dyDescent="0.2">
      <c r="A566" s="1"/>
      <c r="B566" s="150"/>
      <c r="C566" s="179"/>
      <c r="D566" s="179"/>
      <c r="E566" s="180"/>
      <c r="F566" s="180"/>
      <c r="G566" s="179"/>
      <c r="H566" s="179"/>
      <c r="I566" s="179"/>
      <c r="J566" s="179"/>
    </row>
    <row r="567" spans="1:10" ht="15.75" customHeight="1" x14ac:dyDescent="0.2">
      <c r="A567" s="1"/>
      <c r="B567" s="150"/>
      <c r="C567" s="179"/>
      <c r="D567" s="179"/>
      <c r="E567" s="180"/>
      <c r="F567" s="180"/>
      <c r="G567" s="179"/>
      <c r="H567" s="179"/>
      <c r="I567" s="179"/>
      <c r="J567" s="179"/>
    </row>
    <row r="568" spans="1:10" ht="15.75" customHeight="1" x14ac:dyDescent="0.2">
      <c r="A568" s="1"/>
      <c r="B568" s="150"/>
      <c r="C568" s="179"/>
      <c r="D568" s="179"/>
      <c r="E568" s="180"/>
      <c r="F568" s="180"/>
      <c r="G568" s="179"/>
      <c r="H568" s="179"/>
      <c r="I568" s="179"/>
      <c r="J568" s="179"/>
    </row>
    <row r="569" spans="1:10" ht="15.75" customHeight="1" x14ac:dyDescent="0.2">
      <c r="A569" s="1"/>
      <c r="B569" s="150"/>
      <c r="C569" s="179"/>
      <c r="D569" s="179"/>
      <c r="E569" s="180"/>
      <c r="F569" s="180"/>
      <c r="G569" s="179"/>
      <c r="H569" s="179"/>
      <c r="I569" s="179"/>
      <c r="J569" s="179"/>
    </row>
    <row r="570" spans="1:10" ht="15.75" customHeight="1" x14ac:dyDescent="0.2">
      <c r="A570" s="1"/>
      <c r="B570" s="150"/>
      <c r="C570" s="179"/>
      <c r="D570" s="179"/>
      <c r="E570" s="180"/>
      <c r="F570" s="180"/>
      <c r="G570" s="179"/>
      <c r="H570" s="179"/>
      <c r="I570" s="179"/>
      <c r="J570" s="179"/>
    </row>
    <row r="571" spans="1:10" ht="15.75" customHeight="1" x14ac:dyDescent="0.2">
      <c r="A571" s="1"/>
      <c r="B571" s="150"/>
      <c r="C571" s="179"/>
      <c r="D571" s="179"/>
      <c r="E571" s="180"/>
      <c r="F571" s="180"/>
      <c r="G571" s="179"/>
      <c r="H571" s="179"/>
      <c r="I571" s="179"/>
      <c r="J571" s="179"/>
    </row>
    <row r="572" spans="1:10" ht="15.75" customHeight="1" x14ac:dyDescent="0.2">
      <c r="A572" s="1"/>
      <c r="B572" s="150"/>
      <c r="C572" s="179"/>
      <c r="D572" s="179"/>
      <c r="E572" s="180"/>
      <c r="F572" s="180"/>
      <c r="G572" s="179"/>
      <c r="H572" s="179"/>
      <c r="I572" s="179"/>
      <c r="J572" s="179"/>
    </row>
    <row r="573" spans="1:10" ht="15.75" customHeight="1" x14ac:dyDescent="0.2">
      <c r="A573" s="1"/>
      <c r="B573" s="150"/>
      <c r="C573" s="179"/>
      <c r="D573" s="179"/>
      <c r="E573" s="180"/>
      <c r="F573" s="180"/>
      <c r="G573" s="179"/>
      <c r="H573" s="179"/>
      <c r="I573" s="179"/>
      <c r="J573" s="179"/>
    </row>
    <row r="574" spans="1:10" ht="15.75" customHeight="1" x14ac:dyDescent="0.2">
      <c r="A574" s="1"/>
      <c r="B574" s="150"/>
      <c r="C574" s="179"/>
      <c r="D574" s="179"/>
      <c r="E574" s="180"/>
      <c r="F574" s="180"/>
      <c r="G574" s="179"/>
      <c r="H574" s="179"/>
      <c r="I574" s="179"/>
      <c r="J574" s="179"/>
    </row>
    <row r="575" spans="1:10" ht="15.75" customHeight="1" x14ac:dyDescent="0.2">
      <c r="A575" s="1"/>
      <c r="B575" s="150"/>
      <c r="C575" s="179"/>
      <c r="D575" s="179"/>
      <c r="E575" s="180"/>
      <c r="F575" s="180"/>
      <c r="G575" s="179"/>
      <c r="H575" s="179"/>
      <c r="I575" s="179"/>
      <c r="J575" s="179"/>
    </row>
    <row r="576" spans="1:10" ht="15.75" customHeight="1" x14ac:dyDescent="0.2">
      <c r="A576" s="1"/>
      <c r="B576" s="150"/>
      <c r="C576" s="179"/>
      <c r="D576" s="179"/>
      <c r="E576" s="180"/>
      <c r="F576" s="180"/>
      <c r="G576" s="179"/>
      <c r="H576" s="179"/>
      <c r="I576" s="179"/>
      <c r="J576" s="179"/>
    </row>
    <row r="577" spans="1:10" ht="15.75" customHeight="1" x14ac:dyDescent="0.2">
      <c r="A577" s="1"/>
      <c r="B577" s="150"/>
      <c r="C577" s="179"/>
      <c r="D577" s="179"/>
      <c r="E577" s="180"/>
      <c r="F577" s="180"/>
      <c r="G577" s="179"/>
      <c r="H577" s="179"/>
      <c r="I577" s="179"/>
      <c r="J577" s="179"/>
    </row>
    <row r="578" spans="1:10" ht="15.75" customHeight="1" x14ac:dyDescent="0.2">
      <c r="A578" s="1"/>
      <c r="B578" s="150"/>
      <c r="C578" s="179"/>
      <c r="D578" s="179"/>
      <c r="E578" s="180"/>
      <c r="F578" s="180"/>
      <c r="G578" s="179"/>
      <c r="H578" s="179"/>
      <c r="I578" s="179"/>
      <c r="J578" s="179"/>
    </row>
    <row r="579" spans="1:10" ht="15.75" customHeight="1" x14ac:dyDescent="0.2">
      <c r="A579" s="1"/>
      <c r="B579" s="150"/>
      <c r="C579" s="179"/>
      <c r="D579" s="179"/>
      <c r="E579" s="180"/>
      <c r="F579" s="180"/>
      <c r="G579" s="179"/>
      <c r="H579" s="179"/>
      <c r="I579" s="179"/>
      <c r="J579" s="179"/>
    </row>
    <row r="580" spans="1:10" ht="15.75" customHeight="1" x14ac:dyDescent="0.2">
      <c r="A580" s="1"/>
      <c r="B580" s="150"/>
      <c r="C580" s="179"/>
      <c r="D580" s="179"/>
      <c r="E580" s="180"/>
      <c r="F580" s="180"/>
      <c r="G580" s="179"/>
      <c r="H580" s="179"/>
      <c r="I580" s="179"/>
      <c r="J580" s="179"/>
    </row>
    <row r="581" spans="1:10" ht="15.75" customHeight="1" x14ac:dyDescent="0.2">
      <c r="A581" s="1"/>
      <c r="B581" s="150"/>
      <c r="C581" s="179"/>
      <c r="D581" s="179"/>
      <c r="E581" s="180"/>
      <c r="F581" s="180"/>
      <c r="G581" s="179"/>
      <c r="H581" s="179"/>
      <c r="I581" s="179"/>
      <c r="J581" s="179"/>
    </row>
    <row r="582" spans="1:10" ht="15.75" customHeight="1" x14ac:dyDescent="0.2">
      <c r="A582" s="1"/>
      <c r="B582" s="150"/>
      <c r="C582" s="179"/>
      <c r="D582" s="179"/>
      <c r="E582" s="180"/>
      <c r="F582" s="180"/>
      <c r="G582" s="179"/>
      <c r="H582" s="179"/>
      <c r="I582" s="179"/>
      <c r="J582" s="179"/>
    </row>
    <row r="583" spans="1:10" ht="15.75" customHeight="1" x14ac:dyDescent="0.2">
      <c r="A583" s="1"/>
      <c r="B583" s="150"/>
      <c r="C583" s="179"/>
      <c r="D583" s="179"/>
      <c r="E583" s="180"/>
      <c r="F583" s="180"/>
      <c r="G583" s="179"/>
      <c r="H583" s="179"/>
      <c r="I583" s="179"/>
      <c r="J583" s="179"/>
    </row>
    <row r="584" spans="1:10" ht="15.75" customHeight="1" x14ac:dyDescent="0.2">
      <c r="A584" s="1"/>
      <c r="B584" s="150"/>
      <c r="C584" s="179"/>
      <c r="D584" s="179"/>
      <c r="E584" s="180"/>
      <c r="F584" s="180"/>
      <c r="G584" s="179"/>
      <c r="H584" s="179"/>
      <c r="I584" s="179"/>
      <c r="J584" s="179"/>
    </row>
    <row r="585" spans="1:10" ht="15.75" customHeight="1" x14ac:dyDescent="0.2">
      <c r="A585" s="1"/>
      <c r="B585" s="150"/>
      <c r="C585" s="179"/>
      <c r="D585" s="179"/>
      <c r="E585" s="180"/>
      <c r="F585" s="180"/>
      <c r="G585" s="179"/>
      <c r="H585" s="179"/>
      <c r="I585" s="179"/>
      <c r="J585" s="179"/>
    </row>
    <row r="586" spans="1:10" ht="15.75" customHeight="1" x14ac:dyDescent="0.2">
      <c r="A586" s="1"/>
      <c r="B586" s="150"/>
      <c r="C586" s="179"/>
      <c r="D586" s="179"/>
      <c r="E586" s="180"/>
      <c r="F586" s="180"/>
      <c r="G586" s="179"/>
      <c r="H586" s="179"/>
      <c r="I586" s="179"/>
      <c r="J586" s="179"/>
    </row>
    <row r="587" spans="1:10" ht="15.75" customHeight="1" x14ac:dyDescent="0.2">
      <c r="A587" s="1"/>
      <c r="B587" s="150"/>
      <c r="C587" s="179"/>
      <c r="D587" s="179"/>
      <c r="E587" s="180"/>
      <c r="F587" s="180"/>
      <c r="G587" s="179"/>
      <c r="H587" s="179"/>
      <c r="I587" s="179"/>
      <c r="J587" s="179"/>
    </row>
    <row r="588" spans="1:10" ht="15.75" customHeight="1" x14ac:dyDescent="0.2">
      <c r="A588" s="1"/>
      <c r="B588" s="150"/>
      <c r="C588" s="179"/>
      <c r="D588" s="179"/>
      <c r="E588" s="180"/>
      <c r="F588" s="180"/>
      <c r="G588" s="179"/>
      <c r="H588" s="179"/>
      <c r="I588" s="179"/>
      <c r="J588" s="179"/>
    </row>
    <row r="589" spans="1:10" ht="15.75" customHeight="1" x14ac:dyDescent="0.2">
      <c r="A589" s="1"/>
      <c r="B589" s="150"/>
      <c r="C589" s="179"/>
      <c r="D589" s="179"/>
      <c r="E589" s="180"/>
      <c r="F589" s="180"/>
      <c r="G589" s="179"/>
      <c r="H589" s="179"/>
      <c r="I589" s="179"/>
      <c r="J589" s="179"/>
    </row>
    <row r="590" spans="1:10" ht="15.75" customHeight="1" x14ac:dyDescent="0.2">
      <c r="A590" s="1"/>
      <c r="B590" s="150"/>
      <c r="C590" s="179"/>
      <c r="D590" s="179"/>
      <c r="E590" s="180"/>
      <c r="F590" s="180"/>
      <c r="G590" s="179"/>
      <c r="H590" s="179"/>
      <c r="I590" s="179"/>
      <c r="J590" s="179"/>
    </row>
    <row r="591" spans="1:10" ht="15.75" customHeight="1" x14ac:dyDescent="0.2">
      <c r="A591" s="1"/>
      <c r="B591" s="150"/>
      <c r="C591" s="179"/>
      <c r="D591" s="179"/>
      <c r="E591" s="180"/>
      <c r="F591" s="180"/>
      <c r="G591" s="179"/>
      <c r="H591" s="179"/>
      <c r="I591" s="179"/>
      <c r="J591" s="179"/>
    </row>
    <row r="592" spans="1:10" ht="15.75" customHeight="1" x14ac:dyDescent="0.2">
      <c r="A592" s="1"/>
      <c r="B592" s="150"/>
      <c r="C592" s="179"/>
      <c r="D592" s="179"/>
      <c r="E592" s="180"/>
      <c r="F592" s="180"/>
      <c r="G592" s="179"/>
      <c r="H592" s="179"/>
      <c r="I592" s="179"/>
      <c r="J592" s="179"/>
    </row>
    <row r="593" spans="1:10" ht="15.75" customHeight="1" x14ac:dyDescent="0.2">
      <c r="A593" s="1"/>
      <c r="B593" s="150"/>
      <c r="C593" s="179"/>
      <c r="D593" s="179"/>
      <c r="E593" s="180"/>
      <c r="F593" s="180"/>
      <c r="G593" s="179"/>
      <c r="H593" s="179"/>
      <c r="I593" s="179"/>
      <c r="J593" s="179"/>
    </row>
    <row r="594" spans="1:10" ht="15.75" customHeight="1" x14ac:dyDescent="0.2">
      <c r="A594" s="1"/>
      <c r="B594" s="150"/>
      <c r="C594" s="179"/>
      <c r="D594" s="179"/>
      <c r="E594" s="180"/>
      <c r="F594" s="180"/>
      <c r="G594" s="179"/>
      <c r="H594" s="179"/>
      <c r="I594" s="179"/>
      <c r="J594" s="179"/>
    </row>
    <row r="595" spans="1:10" ht="15.75" customHeight="1" x14ac:dyDescent="0.2">
      <c r="A595" s="1"/>
      <c r="B595" s="150"/>
      <c r="C595" s="179"/>
      <c r="D595" s="179"/>
      <c r="E595" s="180"/>
      <c r="F595" s="180"/>
      <c r="G595" s="179"/>
      <c r="H595" s="179"/>
      <c r="I595" s="179"/>
      <c r="J595" s="179"/>
    </row>
    <row r="596" spans="1:10" ht="15.75" customHeight="1" x14ac:dyDescent="0.2">
      <c r="A596" s="1"/>
      <c r="B596" s="150"/>
      <c r="C596" s="179"/>
      <c r="D596" s="179"/>
      <c r="E596" s="180"/>
      <c r="F596" s="180"/>
      <c r="G596" s="179"/>
      <c r="H596" s="179"/>
      <c r="I596" s="179"/>
      <c r="J596" s="179"/>
    </row>
    <row r="597" spans="1:10" ht="15.75" customHeight="1" x14ac:dyDescent="0.2">
      <c r="A597" s="1"/>
      <c r="B597" s="150"/>
      <c r="C597" s="179"/>
      <c r="D597" s="179"/>
      <c r="E597" s="180"/>
      <c r="F597" s="180"/>
      <c r="G597" s="179"/>
      <c r="H597" s="179"/>
      <c r="I597" s="179"/>
      <c r="J597" s="179"/>
    </row>
    <row r="598" spans="1:10" ht="15.75" customHeight="1" x14ac:dyDescent="0.2">
      <c r="A598" s="1"/>
      <c r="B598" s="150"/>
      <c r="C598" s="179"/>
      <c r="D598" s="179"/>
      <c r="E598" s="180"/>
      <c r="F598" s="180"/>
      <c r="G598" s="179"/>
      <c r="H598" s="179"/>
      <c r="I598" s="179"/>
      <c r="J598" s="179"/>
    </row>
    <row r="599" spans="1:10" ht="15.75" customHeight="1" x14ac:dyDescent="0.2">
      <c r="A599" s="1"/>
      <c r="B599" s="150"/>
      <c r="C599" s="179"/>
      <c r="D599" s="179"/>
      <c r="E599" s="180"/>
      <c r="F599" s="180"/>
      <c r="G599" s="179"/>
      <c r="H599" s="179"/>
      <c r="I599" s="179"/>
      <c r="J599" s="179"/>
    </row>
    <row r="600" spans="1:10" ht="15.75" customHeight="1" x14ac:dyDescent="0.2">
      <c r="A600" s="1"/>
      <c r="B600" s="150"/>
      <c r="C600" s="179"/>
      <c r="D600" s="179"/>
      <c r="E600" s="180"/>
      <c r="F600" s="180"/>
      <c r="G600" s="179"/>
      <c r="H600" s="179"/>
      <c r="I600" s="179"/>
      <c r="J600" s="179"/>
    </row>
    <row r="601" spans="1:10" ht="15.75" customHeight="1" x14ac:dyDescent="0.2">
      <c r="A601" s="1"/>
      <c r="B601" s="150"/>
      <c r="C601" s="179"/>
      <c r="D601" s="179"/>
      <c r="E601" s="180"/>
      <c r="F601" s="180"/>
      <c r="G601" s="179"/>
      <c r="H601" s="179"/>
      <c r="I601" s="179"/>
      <c r="J601" s="179"/>
    </row>
    <row r="602" spans="1:10" ht="15.75" customHeight="1" x14ac:dyDescent="0.2">
      <c r="A602" s="1"/>
      <c r="B602" s="150"/>
      <c r="C602" s="179"/>
      <c r="D602" s="179"/>
      <c r="E602" s="180"/>
      <c r="F602" s="180"/>
      <c r="G602" s="179"/>
      <c r="H602" s="179"/>
      <c r="I602" s="179"/>
      <c r="J602" s="179"/>
    </row>
    <row r="603" spans="1:10" ht="15.75" customHeight="1" x14ac:dyDescent="0.2">
      <c r="A603" s="1"/>
      <c r="B603" s="150"/>
      <c r="C603" s="179"/>
      <c r="D603" s="179"/>
      <c r="E603" s="180"/>
      <c r="F603" s="180"/>
      <c r="G603" s="179"/>
      <c r="H603" s="179"/>
      <c r="I603" s="179"/>
      <c r="J603" s="179"/>
    </row>
    <row r="604" spans="1:10" ht="15.75" customHeight="1" x14ac:dyDescent="0.2">
      <c r="A604" s="1"/>
      <c r="B604" s="150"/>
      <c r="C604" s="179"/>
      <c r="D604" s="179"/>
      <c r="E604" s="180"/>
      <c r="F604" s="180"/>
      <c r="G604" s="179"/>
      <c r="H604" s="179"/>
      <c r="I604" s="179"/>
      <c r="J604" s="179"/>
    </row>
    <row r="605" spans="1:10" ht="15.75" customHeight="1" x14ac:dyDescent="0.2">
      <c r="A605" s="1"/>
      <c r="B605" s="150"/>
      <c r="C605" s="179"/>
      <c r="D605" s="179"/>
      <c r="E605" s="180"/>
      <c r="F605" s="180"/>
      <c r="G605" s="179"/>
      <c r="H605" s="179"/>
      <c r="I605" s="179"/>
      <c r="J605" s="179"/>
    </row>
    <row r="606" spans="1:10" ht="15.75" customHeight="1" x14ac:dyDescent="0.2">
      <c r="A606" s="1"/>
      <c r="B606" s="150"/>
      <c r="C606" s="179"/>
      <c r="D606" s="179"/>
      <c r="E606" s="180"/>
      <c r="F606" s="180"/>
      <c r="G606" s="179"/>
      <c r="H606" s="179"/>
      <c r="I606" s="179"/>
      <c r="J606" s="179"/>
    </row>
    <row r="607" spans="1:10" ht="15.75" customHeight="1" x14ac:dyDescent="0.2">
      <c r="A607" s="1"/>
      <c r="B607" s="150"/>
      <c r="C607" s="179"/>
      <c r="D607" s="179"/>
      <c r="E607" s="180"/>
      <c r="F607" s="180"/>
      <c r="G607" s="179"/>
      <c r="H607" s="179"/>
      <c r="I607" s="179"/>
      <c r="J607" s="179"/>
    </row>
    <row r="608" spans="1:10" ht="15.75" customHeight="1" x14ac:dyDescent="0.2">
      <c r="A608" s="1"/>
      <c r="B608" s="150"/>
      <c r="C608" s="179"/>
      <c r="D608" s="179"/>
      <c r="E608" s="180"/>
      <c r="F608" s="180"/>
      <c r="G608" s="179"/>
      <c r="H608" s="179"/>
      <c r="I608" s="179"/>
      <c r="J608" s="179"/>
    </row>
    <row r="609" spans="1:10" ht="15.75" customHeight="1" x14ac:dyDescent="0.2">
      <c r="A609" s="1"/>
      <c r="B609" s="150"/>
      <c r="C609" s="179"/>
      <c r="D609" s="179"/>
      <c r="E609" s="180"/>
      <c r="F609" s="180"/>
      <c r="G609" s="179"/>
      <c r="H609" s="179"/>
      <c r="I609" s="179"/>
      <c r="J609" s="179"/>
    </row>
    <row r="610" spans="1:10" ht="15.75" customHeight="1" x14ac:dyDescent="0.2">
      <c r="A610" s="1"/>
      <c r="B610" s="150"/>
      <c r="C610" s="179"/>
      <c r="D610" s="179"/>
      <c r="E610" s="180"/>
      <c r="F610" s="180"/>
      <c r="G610" s="179"/>
      <c r="H610" s="179"/>
      <c r="I610" s="179"/>
      <c r="J610" s="179"/>
    </row>
    <row r="611" spans="1:10" ht="15.75" customHeight="1" x14ac:dyDescent="0.2">
      <c r="A611" s="1"/>
      <c r="B611" s="150"/>
      <c r="C611" s="179"/>
      <c r="D611" s="179"/>
      <c r="E611" s="180"/>
      <c r="F611" s="180"/>
      <c r="G611" s="179"/>
      <c r="H611" s="179"/>
      <c r="I611" s="179"/>
      <c r="J611" s="179"/>
    </row>
    <row r="612" spans="1:10" ht="15.75" customHeight="1" x14ac:dyDescent="0.2">
      <c r="A612" s="1"/>
      <c r="B612" s="150"/>
      <c r="C612" s="179"/>
      <c r="D612" s="179"/>
      <c r="E612" s="180"/>
      <c r="F612" s="180"/>
      <c r="G612" s="179"/>
      <c r="H612" s="179"/>
      <c r="I612" s="179"/>
      <c r="J612" s="179"/>
    </row>
    <row r="613" spans="1:10" ht="15.75" customHeight="1" x14ac:dyDescent="0.2">
      <c r="A613" s="1"/>
      <c r="B613" s="150"/>
      <c r="C613" s="179"/>
      <c r="D613" s="179"/>
      <c r="E613" s="180"/>
      <c r="F613" s="180"/>
      <c r="G613" s="179"/>
      <c r="H613" s="179"/>
      <c r="I613" s="179"/>
      <c r="J613" s="179"/>
    </row>
    <row r="614" spans="1:10" ht="15.75" customHeight="1" x14ac:dyDescent="0.2">
      <c r="A614" s="1"/>
      <c r="B614" s="150"/>
      <c r="C614" s="179"/>
      <c r="D614" s="179"/>
      <c r="E614" s="180"/>
      <c r="F614" s="180"/>
      <c r="G614" s="179"/>
      <c r="H614" s="179"/>
      <c r="I614" s="179"/>
      <c r="J614" s="179"/>
    </row>
    <row r="615" spans="1:10" ht="15.75" customHeight="1" x14ac:dyDescent="0.2">
      <c r="A615" s="1"/>
      <c r="B615" s="150"/>
      <c r="C615" s="179"/>
      <c r="D615" s="179"/>
      <c r="E615" s="180"/>
      <c r="F615" s="180"/>
      <c r="G615" s="179"/>
      <c r="H615" s="179"/>
      <c r="I615" s="179"/>
      <c r="J615" s="179"/>
    </row>
    <row r="616" spans="1:10" ht="15.75" customHeight="1" x14ac:dyDescent="0.2">
      <c r="A616" s="1"/>
      <c r="B616" s="150"/>
      <c r="C616" s="179"/>
      <c r="D616" s="179"/>
      <c r="E616" s="180"/>
      <c r="F616" s="180"/>
      <c r="G616" s="179"/>
      <c r="H616" s="179"/>
      <c r="I616" s="179"/>
      <c r="J616" s="179"/>
    </row>
    <row r="617" spans="1:10" ht="15.75" customHeight="1" x14ac:dyDescent="0.2">
      <c r="A617" s="1"/>
      <c r="B617" s="150"/>
      <c r="C617" s="179"/>
      <c r="D617" s="179"/>
      <c r="E617" s="180"/>
      <c r="F617" s="180"/>
      <c r="G617" s="179"/>
      <c r="H617" s="179"/>
      <c r="I617" s="179"/>
      <c r="J617" s="179"/>
    </row>
    <row r="618" spans="1:10" ht="15.75" customHeight="1" x14ac:dyDescent="0.2">
      <c r="A618" s="1"/>
      <c r="B618" s="150"/>
      <c r="C618" s="179"/>
      <c r="D618" s="179"/>
      <c r="E618" s="180"/>
      <c r="F618" s="180"/>
      <c r="G618" s="179"/>
      <c r="H618" s="179"/>
      <c r="I618" s="179"/>
      <c r="J618" s="179"/>
    </row>
    <row r="619" spans="1:10" ht="15.75" customHeight="1" x14ac:dyDescent="0.2">
      <c r="A619" s="1"/>
      <c r="B619" s="150"/>
      <c r="C619" s="179"/>
      <c r="D619" s="179"/>
      <c r="E619" s="180"/>
      <c r="F619" s="180"/>
      <c r="G619" s="179"/>
      <c r="H619" s="179"/>
      <c r="I619" s="179"/>
      <c r="J619" s="179"/>
    </row>
    <row r="620" spans="1:10" ht="15.75" customHeight="1" x14ac:dyDescent="0.2">
      <c r="A620" s="1"/>
      <c r="B620" s="150"/>
      <c r="C620" s="179"/>
      <c r="D620" s="179"/>
      <c r="E620" s="180"/>
      <c r="F620" s="180"/>
      <c r="G620" s="179"/>
      <c r="H620" s="179"/>
      <c r="I620" s="179"/>
      <c r="J620" s="179"/>
    </row>
    <row r="621" spans="1:10" ht="15.75" customHeight="1" x14ac:dyDescent="0.2">
      <c r="A621" s="1"/>
      <c r="B621" s="150"/>
      <c r="C621" s="179"/>
      <c r="D621" s="179"/>
      <c r="E621" s="180"/>
      <c r="F621" s="180"/>
      <c r="G621" s="179"/>
      <c r="H621" s="179"/>
      <c r="I621" s="179"/>
      <c r="J621" s="179"/>
    </row>
    <row r="622" spans="1:10" ht="15.75" customHeight="1" x14ac:dyDescent="0.2">
      <c r="A622" s="1"/>
      <c r="B622" s="150"/>
      <c r="C622" s="179"/>
      <c r="D622" s="179"/>
      <c r="E622" s="180"/>
      <c r="F622" s="180"/>
      <c r="G622" s="179"/>
      <c r="H622" s="179"/>
      <c r="I622" s="179"/>
      <c r="J622" s="179"/>
    </row>
    <row r="623" spans="1:10" ht="15.75" customHeight="1" x14ac:dyDescent="0.2">
      <c r="A623" s="1"/>
      <c r="B623" s="150"/>
      <c r="C623" s="179"/>
      <c r="D623" s="179"/>
      <c r="E623" s="180"/>
      <c r="F623" s="180"/>
      <c r="G623" s="179"/>
      <c r="H623" s="179"/>
      <c r="I623" s="179"/>
      <c r="J623" s="179"/>
    </row>
    <row r="624" spans="1:10" ht="15.75" customHeight="1" x14ac:dyDescent="0.2">
      <c r="A624" s="1"/>
      <c r="B624" s="150"/>
      <c r="C624" s="179"/>
      <c r="D624" s="179"/>
      <c r="E624" s="180"/>
      <c r="F624" s="180"/>
      <c r="G624" s="179"/>
      <c r="H624" s="179"/>
      <c r="I624" s="179"/>
      <c r="J624" s="179"/>
    </row>
    <row r="625" spans="1:10" ht="15.75" customHeight="1" x14ac:dyDescent="0.2">
      <c r="A625" s="1"/>
      <c r="B625" s="150"/>
      <c r="C625" s="179"/>
      <c r="D625" s="179"/>
      <c r="E625" s="180"/>
      <c r="F625" s="180"/>
      <c r="G625" s="179"/>
      <c r="H625" s="179"/>
      <c r="I625" s="179"/>
      <c r="J625" s="179"/>
    </row>
    <row r="626" spans="1:10" ht="15.75" customHeight="1" x14ac:dyDescent="0.2">
      <c r="A626" s="1"/>
      <c r="B626" s="150"/>
      <c r="C626" s="179"/>
      <c r="D626" s="179"/>
      <c r="E626" s="180"/>
      <c r="F626" s="180"/>
      <c r="G626" s="179"/>
      <c r="H626" s="179"/>
      <c r="I626" s="179"/>
      <c r="J626" s="179"/>
    </row>
    <row r="627" spans="1:10" ht="15.75" customHeight="1" x14ac:dyDescent="0.2">
      <c r="A627" s="1"/>
      <c r="B627" s="150"/>
      <c r="C627" s="179"/>
      <c r="D627" s="179"/>
      <c r="E627" s="180"/>
      <c r="F627" s="180"/>
      <c r="G627" s="179"/>
      <c r="H627" s="179"/>
      <c r="I627" s="179"/>
      <c r="J627" s="179"/>
    </row>
    <row r="628" spans="1:10" ht="15.75" customHeight="1" x14ac:dyDescent="0.2">
      <c r="A628" s="1"/>
      <c r="B628" s="150"/>
      <c r="C628" s="179"/>
      <c r="D628" s="179"/>
      <c r="E628" s="180"/>
      <c r="F628" s="180"/>
      <c r="G628" s="179"/>
      <c r="H628" s="179"/>
      <c r="I628" s="179"/>
      <c r="J628" s="179"/>
    </row>
    <row r="629" spans="1:10" ht="15.75" customHeight="1" x14ac:dyDescent="0.2">
      <c r="A629" s="1"/>
      <c r="B629" s="150"/>
      <c r="C629" s="179"/>
      <c r="D629" s="179"/>
      <c r="E629" s="180"/>
      <c r="F629" s="180"/>
      <c r="G629" s="179"/>
      <c r="H629" s="179"/>
      <c r="I629" s="179"/>
      <c r="J629" s="179"/>
    </row>
    <row r="630" spans="1:10" ht="15.75" customHeight="1" x14ac:dyDescent="0.2">
      <c r="A630" s="1"/>
      <c r="B630" s="150"/>
      <c r="C630" s="179"/>
      <c r="D630" s="179"/>
      <c r="E630" s="180"/>
      <c r="F630" s="180"/>
      <c r="G630" s="179"/>
      <c r="H630" s="179"/>
      <c r="I630" s="179"/>
      <c r="J630" s="179"/>
    </row>
    <row r="631" spans="1:10" ht="15.75" customHeight="1" x14ac:dyDescent="0.2">
      <c r="A631" s="1"/>
      <c r="B631" s="150"/>
      <c r="C631" s="179"/>
      <c r="D631" s="179"/>
      <c r="E631" s="180"/>
      <c r="F631" s="180"/>
      <c r="G631" s="179"/>
      <c r="H631" s="179"/>
      <c r="I631" s="179"/>
      <c r="J631" s="179"/>
    </row>
    <row r="632" spans="1:10" ht="15.75" customHeight="1" x14ac:dyDescent="0.2">
      <c r="A632" s="1"/>
      <c r="B632" s="150"/>
      <c r="C632" s="179"/>
      <c r="D632" s="179"/>
      <c r="E632" s="180"/>
      <c r="F632" s="180"/>
      <c r="G632" s="179"/>
      <c r="H632" s="179"/>
      <c r="I632" s="179"/>
      <c r="J632" s="179"/>
    </row>
    <row r="633" spans="1:10" ht="15.75" customHeight="1" x14ac:dyDescent="0.2">
      <c r="A633" s="1"/>
      <c r="B633" s="150"/>
      <c r="C633" s="179"/>
      <c r="D633" s="179"/>
      <c r="E633" s="180"/>
      <c r="F633" s="180"/>
      <c r="G633" s="179"/>
      <c r="H633" s="179"/>
      <c r="I633" s="179"/>
      <c r="J633" s="179"/>
    </row>
    <row r="634" spans="1:10" ht="15.75" customHeight="1" x14ac:dyDescent="0.2">
      <c r="A634" s="1"/>
      <c r="B634" s="150"/>
      <c r="C634" s="179"/>
      <c r="D634" s="179"/>
      <c r="E634" s="180"/>
      <c r="F634" s="180"/>
      <c r="G634" s="179"/>
      <c r="H634" s="179"/>
      <c r="I634" s="179"/>
      <c r="J634" s="179"/>
    </row>
    <row r="635" spans="1:10" ht="15.75" customHeight="1" x14ac:dyDescent="0.2">
      <c r="A635" s="1"/>
      <c r="B635" s="150"/>
      <c r="C635" s="179"/>
      <c r="D635" s="179"/>
      <c r="E635" s="180"/>
      <c r="F635" s="180"/>
      <c r="G635" s="179"/>
      <c r="H635" s="179"/>
      <c r="I635" s="179"/>
      <c r="J635" s="179"/>
    </row>
    <row r="636" spans="1:10" ht="15.75" customHeight="1" x14ac:dyDescent="0.2">
      <c r="A636" s="1"/>
      <c r="B636" s="150"/>
      <c r="C636" s="179"/>
      <c r="D636" s="179"/>
      <c r="E636" s="180"/>
      <c r="F636" s="180"/>
      <c r="G636" s="179"/>
      <c r="H636" s="179"/>
      <c r="I636" s="179"/>
      <c r="J636" s="179"/>
    </row>
    <row r="637" spans="1:10" ht="15.75" customHeight="1" x14ac:dyDescent="0.2">
      <c r="A637" s="1"/>
      <c r="B637" s="150"/>
      <c r="C637" s="179"/>
      <c r="D637" s="179"/>
      <c r="E637" s="180"/>
      <c r="F637" s="180"/>
      <c r="G637" s="179"/>
      <c r="H637" s="179"/>
      <c r="I637" s="179"/>
      <c r="J637" s="179"/>
    </row>
    <row r="638" spans="1:10" ht="15.75" customHeight="1" x14ac:dyDescent="0.2">
      <c r="A638" s="1"/>
      <c r="B638" s="150"/>
      <c r="C638" s="179"/>
      <c r="D638" s="179"/>
      <c r="E638" s="180"/>
      <c r="F638" s="180"/>
      <c r="G638" s="179"/>
      <c r="H638" s="179"/>
      <c r="I638" s="179"/>
      <c r="J638" s="179"/>
    </row>
    <row r="639" spans="1:10" ht="15.75" customHeight="1" x14ac:dyDescent="0.2">
      <c r="A639" s="1"/>
      <c r="B639" s="150"/>
      <c r="C639" s="179"/>
      <c r="D639" s="179"/>
      <c r="E639" s="180"/>
      <c r="F639" s="180"/>
      <c r="G639" s="179"/>
      <c r="H639" s="179"/>
      <c r="I639" s="179"/>
      <c r="J639" s="179"/>
    </row>
    <row r="640" spans="1:10" ht="15.75" customHeight="1" x14ac:dyDescent="0.2">
      <c r="A640" s="1"/>
      <c r="B640" s="150"/>
      <c r="C640" s="179"/>
      <c r="D640" s="179"/>
      <c r="E640" s="180"/>
      <c r="F640" s="180"/>
      <c r="G640" s="179"/>
      <c r="H640" s="179"/>
      <c r="I640" s="179"/>
      <c r="J640" s="179"/>
    </row>
    <row r="641" spans="1:10" ht="15.75" customHeight="1" x14ac:dyDescent="0.2">
      <c r="A641" s="1"/>
      <c r="B641" s="150"/>
      <c r="C641" s="179"/>
      <c r="D641" s="179"/>
      <c r="E641" s="180"/>
      <c r="F641" s="180"/>
      <c r="G641" s="179"/>
      <c r="H641" s="179"/>
      <c r="I641" s="179"/>
      <c r="J641" s="179"/>
    </row>
    <row r="642" spans="1:10" ht="15.75" customHeight="1" x14ac:dyDescent="0.2">
      <c r="A642" s="1"/>
      <c r="B642" s="150"/>
      <c r="C642" s="179"/>
      <c r="D642" s="179"/>
      <c r="E642" s="180"/>
      <c r="F642" s="180"/>
      <c r="G642" s="179"/>
      <c r="H642" s="179"/>
      <c r="I642" s="179"/>
      <c r="J642" s="179"/>
    </row>
    <row r="643" spans="1:10" ht="15.75" customHeight="1" x14ac:dyDescent="0.2">
      <c r="A643" s="1"/>
      <c r="B643" s="150"/>
      <c r="C643" s="179"/>
      <c r="D643" s="179"/>
      <c r="E643" s="180"/>
      <c r="F643" s="180"/>
      <c r="G643" s="179"/>
      <c r="H643" s="179"/>
      <c r="I643" s="179"/>
      <c r="J643" s="179"/>
    </row>
    <row r="644" spans="1:10" ht="15.75" customHeight="1" x14ac:dyDescent="0.2">
      <c r="A644" s="1"/>
      <c r="B644" s="150"/>
      <c r="C644" s="179"/>
      <c r="D644" s="179"/>
      <c r="E644" s="180"/>
      <c r="F644" s="180"/>
      <c r="G644" s="179"/>
      <c r="H644" s="179"/>
      <c r="I644" s="179"/>
      <c r="J644" s="179"/>
    </row>
    <row r="645" spans="1:10" ht="15.75" customHeight="1" x14ac:dyDescent="0.2">
      <c r="A645" s="1"/>
      <c r="B645" s="150"/>
      <c r="C645" s="179"/>
      <c r="D645" s="179"/>
      <c r="E645" s="180"/>
      <c r="F645" s="180"/>
      <c r="G645" s="179"/>
      <c r="H645" s="179"/>
      <c r="I645" s="179"/>
      <c r="J645" s="179"/>
    </row>
    <row r="646" spans="1:10" ht="15.75" customHeight="1" x14ac:dyDescent="0.2">
      <c r="A646" s="1"/>
      <c r="B646" s="150"/>
      <c r="C646" s="179"/>
      <c r="D646" s="179"/>
      <c r="E646" s="180"/>
      <c r="F646" s="180"/>
      <c r="G646" s="179"/>
      <c r="H646" s="179"/>
      <c r="I646" s="179"/>
      <c r="J646" s="179"/>
    </row>
    <row r="647" spans="1:10" ht="15.75" customHeight="1" x14ac:dyDescent="0.2">
      <c r="A647" s="1"/>
      <c r="B647" s="150"/>
      <c r="C647" s="179"/>
      <c r="D647" s="179"/>
      <c r="E647" s="180"/>
      <c r="F647" s="180"/>
      <c r="G647" s="179"/>
      <c r="H647" s="179"/>
      <c r="I647" s="179"/>
      <c r="J647" s="179"/>
    </row>
    <row r="648" spans="1:10" ht="15.75" customHeight="1" x14ac:dyDescent="0.2">
      <c r="A648" s="1"/>
      <c r="B648" s="150"/>
      <c r="C648" s="179"/>
      <c r="D648" s="179"/>
      <c r="E648" s="180"/>
      <c r="F648" s="180"/>
      <c r="G648" s="179"/>
      <c r="H648" s="179"/>
      <c r="I648" s="179"/>
      <c r="J648" s="179"/>
    </row>
    <row r="649" spans="1:10" ht="15.75" customHeight="1" x14ac:dyDescent="0.2">
      <c r="A649" s="1"/>
      <c r="B649" s="150"/>
      <c r="C649" s="179"/>
      <c r="D649" s="179"/>
      <c r="E649" s="180"/>
      <c r="F649" s="180"/>
      <c r="G649" s="179"/>
      <c r="H649" s="179"/>
      <c r="I649" s="179"/>
      <c r="J649" s="179"/>
    </row>
    <row r="650" spans="1:10" ht="15.75" customHeight="1" x14ac:dyDescent="0.2">
      <c r="A650" s="1"/>
      <c r="B650" s="150"/>
      <c r="C650" s="179"/>
      <c r="D650" s="179"/>
      <c r="E650" s="180"/>
      <c r="F650" s="180"/>
      <c r="G650" s="179"/>
      <c r="H650" s="179"/>
      <c r="I650" s="179"/>
      <c r="J650" s="179"/>
    </row>
    <row r="651" spans="1:10" ht="15.75" customHeight="1" x14ac:dyDescent="0.2">
      <c r="A651" s="1"/>
      <c r="B651" s="150"/>
      <c r="C651" s="179"/>
      <c r="D651" s="179"/>
      <c r="E651" s="180"/>
      <c r="F651" s="180"/>
      <c r="G651" s="179"/>
      <c r="H651" s="179"/>
      <c r="I651" s="179"/>
      <c r="J651" s="179"/>
    </row>
    <row r="652" spans="1:10" ht="15.75" customHeight="1" x14ac:dyDescent="0.2">
      <c r="A652" s="1"/>
      <c r="B652" s="150"/>
      <c r="C652" s="179"/>
      <c r="D652" s="179"/>
      <c r="E652" s="180"/>
      <c r="F652" s="180"/>
      <c r="G652" s="179"/>
      <c r="H652" s="179"/>
      <c r="I652" s="179"/>
      <c r="J652" s="179"/>
    </row>
    <row r="653" spans="1:10" ht="15.75" customHeight="1" x14ac:dyDescent="0.2">
      <c r="A653" s="1"/>
      <c r="B653" s="150"/>
      <c r="C653" s="179"/>
      <c r="D653" s="179"/>
      <c r="E653" s="180"/>
      <c r="F653" s="180"/>
      <c r="G653" s="179"/>
      <c r="H653" s="179"/>
      <c r="I653" s="179"/>
      <c r="J653" s="179"/>
    </row>
    <row r="654" spans="1:10" ht="15.75" customHeight="1" x14ac:dyDescent="0.2">
      <c r="A654" s="1"/>
      <c r="B654" s="150"/>
      <c r="C654" s="179"/>
      <c r="D654" s="179"/>
      <c r="E654" s="180"/>
      <c r="F654" s="180"/>
      <c r="G654" s="179"/>
      <c r="H654" s="179"/>
      <c r="I654" s="179"/>
      <c r="J654" s="179"/>
    </row>
    <row r="655" spans="1:10" ht="15.75" customHeight="1" x14ac:dyDescent="0.2">
      <c r="A655" s="1"/>
      <c r="B655" s="150"/>
      <c r="C655" s="179"/>
      <c r="D655" s="179"/>
      <c r="E655" s="180"/>
      <c r="F655" s="180"/>
      <c r="G655" s="179"/>
      <c r="H655" s="179"/>
      <c r="I655" s="179"/>
      <c r="J655" s="179"/>
    </row>
    <row r="656" spans="1:10" ht="15.75" customHeight="1" x14ac:dyDescent="0.2">
      <c r="A656" s="1"/>
      <c r="B656" s="150"/>
      <c r="C656" s="179"/>
      <c r="D656" s="179"/>
      <c r="E656" s="180"/>
      <c r="F656" s="180"/>
      <c r="G656" s="179"/>
      <c r="H656" s="179"/>
      <c r="I656" s="179"/>
      <c r="J656" s="179"/>
    </row>
    <row r="657" spans="1:10" ht="15.75" customHeight="1" x14ac:dyDescent="0.2">
      <c r="A657" s="1"/>
      <c r="B657" s="150"/>
      <c r="C657" s="179"/>
      <c r="D657" s="179"/>
      <c r="E657" s="180"/>
      <c r="F657" s="180"/>
      <c r="G657" s="179"/>
      <c r="H657" s="179"/>
      <c r="I657" s="179"/>
      <c r="J657" s="179"/>
    </row>
    <row r="658" spans="1:10" ht="15.75" customHeight="1" x14ac:dyDescent="0.2">
      <c r="A658" s="1"/>
      <c r="B658" s="150"/>
      <c r="C658" s="179"/>
      <c r="D658" s="179"/>
      <c r="E658" s="180"/>
      <c r="F658" s="180"/>
      <c r="G658" s="179"/>
      <c r="H658" s="179"/>
      <c r="I658" s="179"/>
      <c r="J658" s="179"/>
    </row>
    <row r="659" spans="1:10" ht="15.75" customHeight="1" x14ac:dyDescent="0.2">
      <c r="A659" s="1"/>
      <c r="B659" s="150"/>
      <c r="C659" s="179"/>
      <c r="D659" s="179"/>
      <c r="E659" s="180"/>
      <c r="F659" s="180"/>
      <c r="G659" s="179"/>
      <c r="H659" s="179"/>
      <c r="I659" s="179"/>
      <c r="J659" s="179"/>
    </row>
    <row r="660" spans="1:10" ht="15.75" customHeight="1" x14ac:dyDescent="0.2">
      <c r="A660" s="1"/>
      <c r="B660" s="150"/>
      <c r="C660" s="179"/>
      <c r="D660" s="179"/>
      <c r="E660" s="180"/>
      <c r="F660" s="180"/>
      <c r="G660" s="179"/>
      <c r="H660" s="179"/>
      <c r="I660" s="179"/>
      <c r="J660" s="179"/>
    </row>
    <row r="661" spans="1:10" ht="15.75" customHeight="1" x14ac:dyDescent="0.2">
      <c r="A661" s="1"/>
      <c r="B661" s="150"/>
      <c r="C661" s="179"/>
      <c r="D661" s="179"/>
      <c r="E661" s="180"/>
      <c r="F661" s="180"/>
      <c r="G661" s="179"/>
      <c r="H661" s="179"/>
      <c r="I661" s="179"/>
      <c r="J661" s="179"/>
    </row>
    <row r="662" spans="1:10" ht="15.75" customHeight="1" x14ac:dyDescent="0.2">
      <c r="A662" s="1"/>
      <c r="B662" s="150"/>
      <c r="C662" s="179"/>
      <c r="D662" s="179"/>
      <c r="E662" s="180"/>
      <c r="F662" s="180"/>
      <c r="G662" s="179"/>
      <c r="H662" s="179"/>
      <c r="I662" s="179"/>
      <c r="J662" s="179"/>
    </row>
    <row r="663" spans="1:10" ht="15.75" customHeight="1" x14ac:dyDescent="0.2">
      <c r="A663" s="1"/>
      <c r="B663" s="150"/>
      <c r="C663" s="179"/>
      <c r="D663" s="179"/>
      <c r="E663" s="180"/>
      <c r="F663" s="180"/>
      <c r="G663" s="179"/>
      <c r="H663" s="179"/>
      <c r="I663" s="179"/>
      <c r="J663" s="179"/>
    </row>
    <row r="664" spans="1:10" ht="15.75" customHeight="1" x14ac:dyDescent="0.2">
      <c r="A664" s="1"/>
      <c r="B664" s="150"/>
      <c r="C664" s="179"/>
      <c r="D664" s="179"/>
      <c r="E664" s="180"/>
      <c r="F664" s="180"/>
      <c r="G664" s="179"/>
      <c r="H664" s="179"/>
      <c r="I664" s="179"/>
      <c r="J664" s="179"/>
    </row>
    <row r="665" spans="1:10" ht="15.75" customHeight="1" x14ac:dyDescent="0.2">
      <c r="A665" s="1"/>
      <c r="B665" s="150"/>
      <c r="C665" s="179"/>
      <c r="D665" s="179"/>
      <c r="E665" s="180"/>
      <c r="F665" s="180"/>
      <c r="G665" s="179"/>
      <c r="H665" s="179"/>
      <c r="I665" s="179"/>
      <c r="J665" s="179"/>
    </row>
    <row r="666" spans="1:10" ht="15.75" customHeight="1" x14ac:dyDescent="0.2">
      <c r="A666" s="1"/>
      <c r="B666" s="150"/>
      <c r="C666" s="179"/>
      <c r="D666" s="179"/>
      <c r="E666" s="180"/>
      <c r="F666" s="180"/>
      <c r="G666" s="179"/>
      <c r="H666" s="179"/>
      <c r="I666" s="179"/>
      <c r="J666" s="179"/>
    </row>
    <row r="667" spans="1:10" ht="15.75" customHeight="1" x14ac:dyDescent="0.2">
      <c r="A667" s="1"/>
      <c r="B667" s="150"/>
      <c r="C667" s="179"/>
      <c r="D667" s="179"/>
      <c r="E667" s="180"/>
      <c r="F667" s="180"/>
      <c r="G667" s="179"/>
      <c r="H667" s="179"/>
      <c r="I667" s="179"/>
      <c r="J667" s="179"/>
    </row>
    <row r="668" spans="1:10" ht="15.75" customHeight="1" x14ac:dyDescent="0.2">
      <c r="A668" s="1"/>
      <c r="B668" s="150"/>
      <c r="C668" s="179"/>
      <c r="D668" s="179"/>
      <c r="E668" s="180"/>
      <c r="F668" s="180"/>
      <c r="G668" s="179"/>
      <c r="H668" s="179"/>
      <c r="I668" s="179"/>
      <c r="J668" s="179"/>
    </row>
    <row r="669" spans="1:10" ht="15.75" customHeight="1" x14ac:dyDescent="0.2">
      <c r="A669" s="1"/>
      <c r="B669" s="150"/>
      <c r="C669" s="179"/>
      <c r="D669" s="179"/>
      <c r="E669" s="180"/>
      <c r="F669" s="180"/>
      <c r="G669" s="179"/>
      <c r="H669" s="179"/>
      <c r="I669" s="179"/>
      <c r="J669" s="179"/>
    </row>
    <row r="670" spans="1:10" ht="15.75" customHeight="1" x14ac:dyDescent="0.2">
      <c r="A670" s="1"/>
      <c r="B670" s="150"/>
      <c r="C670" s="179"/>
      <c r="D670" s="179"/>
      <c r="E670" s="180"/>
      <c r="F670" s="180"/>
      <c r="G670" s="179"/>
      <c r="H670" s="179"/>
      <c r="I670" s="179"/>
      <c r="J670" s="179"/>
    </row>
    <row r="671" spans="1:10" ht="15.75" customHeight="1" x14ac:dyDescent="0.2">
      <c r="A671" s="1"/>
      <c r="B671" s="150"/>
      <c r="C671" s="179"/>
      <c r="D671" s="179"/>
      <c r="E671" s="180"/>
      <c r="F671" s="180"/>
      <c r="G671" s="179"/>
      <c r="H671" s="179"/>
      <c r="I671" s="179"/>
      <c r="J671" s="179"/>
    </row>
    <row r="672" spans="1:10" ht="15.75" customHeight="1" x14ac:dyDescent="0.2">
      <c r="A672" s="1"/>
      <c r="B672" s="150"/>
      <c r="C672" s="179"/>
      <c r="D672" s="179"/>
      <c r="E672" s="180"/>
      <c r="F672" s="180"/>
      <c r="G672" s="179"/>
      <c r="H672" s="179"/>
      <c r="I672" s="179"/>
      <c r="J672" s="179"/>
    </row>
    <row r="673" spans="1:10" ht="15.75" customHeight="1" x14ac:dyDescent="0.2">
      <c r="A673" s="1"/>
      <c r="B673" s="150"/>
      <c r="C673" s="179"/>
      <c r="D673" s="179"/>
      <c r="E673" s="180"/>
      <c r="F673" s="180"/>
      <c r="G673" s="179"/>
      <c r="H673" s="179"/>
      <c r="I673" s="179"/>
      <c r="J673" s="179"/>
    </row>
    <row r="674" spans="1:10" ht="15.75" customHeight="1" x14ac:dyDescent="0.2">
      <c r="A674" s="1"/>
      <c r="B674" s="150"/>
      <c r="C674" s="179"/>
      <c r="D674" s="179"/>
      <c r="E674" s="180"/>
      <c r="F674" s="180"/>
      <c r="G674" s="179"/>
      <c r="H674" s="179"/>
      <c r="I674" s="179"/>
      <c r="J674" s="179"/>
    </row>
    <row r="675" spans="1:10" ht="15.75" customHeight="1" x14ac:dyDescent="0.2">
      <c r="A675" s="1"/>
      <c r="B675" s="150"/>
      <c r="C675" s="179"/>
      <c r="D675" s="179"/>
      <c r="E675" s="180"/>
      <c r="F675" s="180"/>
      <c r="G675" s="179"/>
      <c r="H675" s="179"/>
      <c r="I675" s="179"/>
      <c r="J675" s="179"/>
    </row>
    <row r="676" spans="1:10" ht="15.75" customHeight="1" x14ac:dyDescent="0.2">
      <c r="A676" s="1"/>
      <c r="B676" s="150"/>
      <c r="C676" s="179"/>
      <c r="D676" s="179"/>
      <c r="E676" s="180"/>
      <c r="F676" s="180"/>
      <c r="G676" s="179"/>
      <c r="H676" s="179"/>
      <c r="I676" s="179"/>
      <c r="J676" s="179"/>
    </row>
    <row r="677" spans="1:10" ht="15.75" customHeight="1" x14ac:dyDescent="0.2">
      <c r="A677" s="1"/>
      <c r="B677" s="150"/>
      <c r="C677" s="179"/>
      <c r="D677" s="179"/>
      <c r="E677" s="180"/>
      <c r="F677" s="180"/>
      <c r="G677" s="179"/>
      <c r="H677" s="179"/>
      <c r="I677" s="179"/>
      <c r="J677" s="179"/>
    </row>
    <row r="678" spans="1:10" ht="15.75" customHeight="1" x14ac:dyDescent="0.2">
      <c r="A678" s="1"/>
      <c r="B678" s="150"/>
      <c r="C678" s="179"/>
      <c r="D678" s="179"/>
      <c r="E678" s="180"/>
      <c r="F678" s="180"/>
      <c r="G678" s="179"/>
      <c r="H678" s="179"/>
      <c r="I678" s="179"/>
      <c r="J678" s="179"/>
    </row>
    <row r="679" spans="1:10" ht="15.75" customHeight="1" x14ac:dyDescent="0.2">
      <c r="A679" s="1"/>
      <c r="B679" s="150"/>
      <c r="C679" s="179"/>
      <c r="D679" s="179"/>
      <c r="E679" s="180"/>
      <c r="F679" s="180"/>
      <c r="G679" s="179"/>
      <c r="H679" s="179"/>
      <c r="I679" s="179"/>
      <c r="J679" s="179"/>
    </row>
    <row r="680" spans="1:10" ht="15.75" customHeight="1" x14ac:dyDescent="0.2">
      <c r="A680" s="1"/>
      <c r="B680" s="150"/>
      <c r="C680" s="179"/>
      <c r="D680" s="179"/>
      <c r="E680" s="180"/>
      <c r="F680" s="180"/>
      <c r="G680" s="179"/>
      <c r="H680" s="179"/>
      <c r="I680" s="179"/>
      <c r="J680" s="179"/>
    </row>
    <row r="681" spans="1:10" ht="15.75" customHeight="1" x14ac:dyDescent="0.2">
      <c r="A681" s="1"/>
      <c r="B681" s="150"/>
      <c r="C681" s="179"/>
      <c r="D681" s="179"/>
      <c r="E681" s="180"/>
      <c r="F681" s="180"/>
      <c r="G681" s="179"/>
      <c r="H681" s="179"/>
      <c r="I681" s="179"/>
      <c r="J681" s="179"/>
    </row>
    <row r="682" spans="1:10" ht="15.75" customHeight="1" x14ac:dyDescent="0.2">
      <c r="A682" s="1"/>
      <c r="B682" s="150"/>
      <c r="C682" s="179"/>
      <c r="D682" s="179"/>
      <c r="E682" s="180"/>
      <c r="F682" s="180"/>
      <c r="G682" s="179"/>
      <c r="H682" s="179"/>
      <c r="I682" s="179"/>
      <c r="J682" s="179"/>
    </row>
    <row r="683" spans="1:10" ht="15.75" customHeight="1" x14ac:dyDescent="0.2">
      <c r="A683" s="1"/>
      <c r="B683" s="150"/>
      <c r="C683" s="179"/>
      <c r="D683" s="179"/>
      <c r="E683" s="180"/>
      <c r="F683" s="180"/>
      <c r="G683" s="179"/>
      <c r="H683" s="179"/>
      <c r="I683" s="179"/>
      <c r="J683" s="179"/>
    </row>
    <row r="684" spans="1:10" ht="15.75" customHeight="1" x14ac:dyDescent="0.2">
      <c r="A684" s="1"/>
      <c r="B684" s="150"/>
      <c r="C684" s="179"/>
      <c r="D684" s="179"/>
      <c r="E684" s="180"/>
      <c r="F684" s="180"/>
      <c r="G684" s="179"/>
      <c r="H684" s="179"/>
      <c r="I684" s="179"/>
      <c r="J684" s="179"/>
    </row>
    <row r="685" spans="1:10" ht="15.75" customHeight="1" x14ac:dyDescent="0.2">
      <c r="A685" s="1"/>
      <c r="B685" s="150"/>
      <c r="C685" s="179"/>
      <c r="D685" s="179"/>
      <c r="E685" s="180"/>
      <c r="F685" s="180"/>
      <c r="G685" s="179"/>
      <c r="H685" s="179"/>
      <c r="I685" s="179"/>
      <c r="J685" s="179"/>
    </row>
    <row r="686" spans="1:10" ht="15.75" customHeight="1" x14ac:dyDescent="0.2">
      <c r="A686" s="1"/>
      <c r="B686" s="150"/>
      <c r="C686" s="179"/>
      <c r="D686" s="179"/>
      <c r="E686" s="180"/>
      <c r="F686" s="180"/>
      <c r="G686" s="179"/>
      <c r="H686" s="179"/>
      <c r="I686" s="179"/>
      <c r="J686" s="179"/>
    </row>
    <row r="687" spans="1:10" ht="15.75" customHeight="1" x14ac:dyDescent="0.2">
      <c r="A687" s="1"/>
      <c r="B687" s="150"/>
      <c r="C687" s="179"/>
      <c r="D687" s="179"/>
      <c r="E687" s="180"/>
      <c r="F687" s="180"/>
      <c r="G687" s="179"/>
      <c r="H687" s="179"/>
      <c r="I687" s="179"/>
      <c r="J687" s="179"/>
    </row>
    <row r="688" spans="1:10" ht="15.75" customHeight="1" x14ac:dyDescent="0.2">
      <c r="A688" s="1"/>
      <c r="B688" s="150"/>
      <c r="C688" s="179"/>
      <c r="D688" s="179"/>
      <c r="E688" s="180"/>
      <c r="F688" s="180"/>
      <c r="G688" s="179"/>
      <c r="H688" s="179"/>
      <c r="I688" s="179"/>
      <c r="J688" s="179"/>
    </row>
    <row r="689" spans="1:10" ht="15.75" customHeight="1" x14ac:dyDescent="0.2">
      <c r="A689" s="1"/>
      <c r="B689" s="150"/>
      <c r="C689" s="179"/>
      <c r="D689" s="179"/>
      <c r="E689" s="180"/>
      <c r="F689" s="180"/>
      <c r="G689" s="179"/>
      <c r="H689" s="179"/>
      <c r="I689" s="179"/>
      <c r="J689" s="179"/>
    </row>
    <row r="690" spans="1:10" ht="15.75" customHeight="1" x14ac:dyDescent="0.2">
      <c r="A690" s="1"/>
      <c r="B690" s="150"/>
      <c r="C690" s="179"/>
      <c r="D690" s="179"/>
      <c r="E690" s="180"/>
      <c r="F690" s="180"/>
      <c r="G690" s="179"/>
      <c r="H690" s="179"/>
      <c r="I690" s="179"/>
      <c r="J690" s="179"/>
    </row>
    <row r="691" spans="1:10" ht="15.75" customHeight="1" x14ac:dyDescent="0.2">
      <c r="A691" s="1"/>
      <c r="B691" s="150"/>
      <c r="C691" s="179"/>
      <c r="D691" s="179"/>
      <c r="E691" s="180"/>
      <c r="F691" s="180"/>
      <c r="G691" s="179"/>
      <c r="H691" s="179"/>
      <c r="I691" s="179"/>
      <c r="J691" s="179"/>
    </row>
    <row r="692" spans="1:10" ht="15.75" customHeight="1" x14ac:dyDescent="0.2">
      <c r="A692" s="1"/>
      <c r="B692" s="150"/>
      <c r="C692" s="179"/>
      <c r="D692" s="179"/>
      <c r="E692" s="180"/>
      <c r="F692" s="180"/>
      <c r="G692" s="179"/>
      <c r="H692" s="179"/>
      <c r="I692" s="179"/>
      <c r="J692" s="179"/>
    </row>
    <row r="693" spans="1:10" ht="15.75" customHeight="1" x14ac:dyDescent="0.2">
      <c r="A693" s="1"/>
      <c r="B693" s="150"/>
      <c r="C693" s="179"/>
      <c r="D693" s="179"/>
      <c r="E693" s="180"/>
      <c r="F693" s="180"/>
      <c r="G693" s="179"/>
      <c r="H693" s="179"/>
      <c r="I693" s="179"/>
      <c r="J693" s="179"/>
    </row>
    <row r="694" spans="1:10" ht="15.75" customHeight="1" x14ac:dyDescent="0.2">
      <c r="A694" s="1"/>
      <c r="B694" s="150"/>
      <c r="C694" s="179"/>
      <c r="D694" s="179"/>
      <c r="E694" s="180"/>
      <c r="F694" s="180"/>
      <c r="G694" s="179"/>
      <c r="H694" s="179"/>
      <c r="I694" s="179"/>
      <c r="J694" s="179"/>
    </row>
    <row r="695" spans="1:10" ht="15.75" customHeight="1" x14ac:dyDescent="0.2">
      <c r="A695" s="1"/>
      <c r="B695" s="150"/>
      <c r="C695" s="179"/>
      <c r="D695" s="179"/>
      <c r="E695" s="180"/>
      <c r="F695" s="180"/>
      <c r="G695" s="179"/>
      <c r="H695" s="179"/>
      <c r="I695" s="179"/>
      <c r="J695" s="179"/>
    </row>
    <row r="696" spans="1:10" ht="15.75" customHeight="1" x14ac:dyDescent="0.2">
      <c r="A696" s="1"/>
      <c r="B696" s="150"/>
      <c r="C696" s="179"/>
      <c r="D696" s="179"/>
      <c r="E696" s="180"/>
      <c r="F696" s="180"/>
      <c r="G696" s="179"/>
      <c r="H696" s="179"/>
      <c r="I696" s="179"/>
      <c r="J696" s="179"/>
    </row>
    <row r="697" spans="1:10" ht="15.75" customHeight="1" x14ac:dyDescent="0.2">
      <c r="A697" s="1"/>
      <c r="B697" s="150"/>
      <c r="C697" s="179"/>
      <c r="D697" s="179"/>
      <c r="E697" s="180"/>
      <c r="F697" s="180"/>
      <c r="G697" s="179"/>
      <c r="H697" s="179"/>
      <c r="I697" s="179"/>
      <c r="J697" s="179"/>
    </row>
    <row r="698" spans="1:10" ht="15.75" customHeight="1" x14ac:dyDescent="0.2">
      <c r="A698" s="1"/>
      <c r="B698" s="150"/>
      <c r="C698" s="179"/>
      <c r="D698" s="179"/>
      <c r="E698" s="180"/>
      <c r="F698" s="180"/>
      <c r="G698" s="179"/>
      <c r="H698" s="179"/>
      <c r="I698" s="179"/>
      <c r="J698" s="179"/>
    </row>
    <row r="699" spans="1:10" ht="15.75" customHeight="1" x14ac:dyDescent="0.2">
      <c r="A699" s="1"/>
      <c r="B699" s="150"/>
      <c r="C699" s="179"/>
      <c r="D699" s="179"/>
      <c r="E699" s="180"/>
      <c r="F699" s="180"/>
      <c r="G699" s="179"/>
      <c r="H699" s="179"/>
      <c r="I699" s="179"/>
      <c r="J699" s="179"/>
    </row>
    <row r="700" spans="1:10" ht="15.75" customHeight="1" x14ac:dyDescent="0.2">
      <c r="A700" s="1"/>
      <c r="B700" s="150"/>
      <c r="C700" s="179"/>
      <c r="D700" s="179"/>
      <c r="E700" s="180"/>
      <c r="F700" s="180"/>
      <c r="G700" s="179"/>
      <c r="H700" s="179"/>
      <c r="I700" s="179"/>
      <c r="J700" s="179"/>
    </row>
    <row r="701" spans="1:10" ht="15.75" customHeight="1" x14ac:dyDescent="0.2">
      <c r="A701" s="1"/>
      <c r="B701" s="150"/>
      <c r="C701" s="179"/>
      <c r="D701" s="179"/>
      <c r="E701" s="180"/>
      <c r="F701" s="180"/>
      <c r="G701" s="179"/>
      <c r="H701" s="179"/>
      <c r="I701" s="179"/>
      <c r="J701" s="179"/>
    </row>
    <row r="702" spans="1:10" ht="15.75" customHeight="1" x14ac:dyDescent="0.2">
      <c r="A702" s="1"/>
      <c r="B702" s="150"/>
      <c r="C702" s="179"/>
      <c r="D702" s="179"/>
      <c r="E702" s="180"/>
      <c r="F702" s="180"/>
      <c r="G702" s="179"/>
      <c r="H702" s="179"/>
      <c r="I702" s="179"/>
      <c r="J702" s="179"/>
    </row>
    <row r="703" spans="1:10" ht="15.75" customHeight="1" x14ac:dyDescent="0.2">
      <c r="A703" s="1"/>
      <c r="B703" s="150"/>
      <c r="C703" s="179"/>
      <c r="D703" s="179"/>
      <c r="E703" s="180"/>
      <c r="F703" s="180"/>
      <c r="G703" s="179"/>
      <c r="H703" s="179"/>
      <c r="I703" s="179"/>
      <c r="J703" s="179"/>
    </row>
    <row r="704" spans="1:10" ht="15.75" customHeight="1" x14ac:dyDescent="0.2">
      <c r="A704" s="1"/>
      <c r="B704" s="150"/>
      <c r="C704" s="179"/>
      <c r="D704" s="179"/>
      <c r="E704" s="180"/>
      <c r="F704" s="180"/>
      <c r="G704" s="179"/>
      <c r="H704" s="179"/>
      <c r="I704" s="179"/>
      <c r="J704" s="179"/>
    </row>
    <row r="705" spans="1:10" ht="15.75" customHeight="1" x14ac:dyDescent="0.2">
      <c r="A705" s="1"/>
      <c r="B705" s="150"/>
      <c r="C705" s="179"/>
      <c r="D705" s="179"/>
      <c r="E705" s="180"/>
      <c r="F705" s="180"/>
      <c r="G705" s="179"/>
      <c r="H705" s="179"/>
      <c r="I705" s="179"/>
      <c r="J705" s="179"/>
    </row>
    <row r="706" spans="1:10" ht="15.75" customHeight="1" x14ac:dyDescent="0.2">
      <c r="A706" s="1"/>
      <c r="B706" s="150"/>
      <c r="C706" s="179"/>
      <c r="D706" s="179"/>
      <c r="E706" s="180"/>
      <c r="F706" s="180"/>
      <c r="G706" s="179"/>
      <c r="H706" s="179"/>
      <c r="I706" s="179"/>
      <c r="J706" s="179"/>
    </row>
    <row r="707" spans="1:10" ht="15.75" customHeight="1" x14ac:dyDescent="0.2">
      <c r="A707" s="1"/>
      <c r="B707" s="150"/>
      <c r="C707" s="179"/>
      <c r="D707" s="179"/>
      <c r="E707" s="180"/>
      <c r="F707" s="180"/>
      <c r="G707" s="179"/>
      <c r="H707" s="179"/>
      <c r="I707" s="179"/>
      <c r="J707" s="179"/>
    </row>
    <row r="708" spans="1:10" ht="15.75" customHeight="1" x14ac:dyDescent="0.2">
      <c r="A708" s="1"/>
      <c r="B708" s="150"/>
      <c r="C708" s="179"/>
      <c r="D708" s="179"/>
      <c r="E708" s="180"/>
      <c r="F708" s="180"/>
      <c r="G708" s="179"/>
      <c r="H708" s="179"/>
      <c r="I708" s="179"/>
      <c r="J708" s="179"/>
    </row>
    <row r="709" spans="1:10" ht="15.75" customHeight="1" x14ac:dyDescent="0.2">
      <c r="A709" s="1"/>
      <c r="B709" s="150"/>
      <c r="C709" s="179"/>
      <c r="D709" s="179"/>
      <c r="E709" s="180"/>
      <c r="F709" s="180"/>
      <c r="G709" s="179"/>
      <c r="H709" s="179"/>
      <c r="I709" s="179"/>
      <c r="J709" s="179"/>
    </row>
    <row r="710" spans="1:10" ht="15.75" customHeight="1" x14ac:dyDescent="0.2">
      <c r="A710" s="1"/>
      <c r="B710" s="150"/>
      <c r="C710" s="179"/>
      <c r="D710" s="179"/>
      <c r="E710" s="180"/>
      <c r="F710" s="180"/>
      <c r="G710" s="179"/>
      <c r="H710" s="179"/>
      <c r="I710" s="179"/>
      <c r="J710" s="179"/>
    </row>
    <row r="711" spans="1:10" ht="15.75" customHeight="1" x14ac:dyDescent="0.2">
      <c r="A711" s="1"/>
      <c r="B711" s="150"/>
      <c r="C711" s="179"/>
      <c r="D711" s="179"/>
      <c r="E711" s="180"/>
      <c r="F711" s="180"/>
      <c r="G711" s="179"/>
      <c r="H711" s="179"/>
      <c r="I711" s="179"/>
      <c r="J711" s="179"/>
    </row>
    <row r="712" spans="1:10" ht="15.75" customHeight="1" x14ac:dyDescent="0.2">
      <c r="A712" s="1"/>
      <c r="B712" s="150"/>
      <c r="C712" s="179"/>
      <c r="D712" s="179"/>
      <c r="E712" s="180"/>
      <c r="F712" s="180"/>
      <c r="G712" s="179"/>
      <c r="H712" s="179"/>
      <c r="I712" s="179"/>
      <c r="J712" s="179"/>
    </row>
    <row r="713" spans="1:10" ht="15.75" customHeight="1" x14ac:dyDescent="0.2">
      <c r="A713" s="1"/>
      <c r="B713" s="150"/>
      <c r="C713" s="179"/>
      <c r="D713" s="179"/>
      <c r="E713" s="180"/>
      <c r="F713" s="180"/>
      <c r="G713" s="179"/>
      <c r="H713" s="179"/>
      <c r="I713" s="179"/>
      <c r="J713" s="179"/>
    </row>
    <row r="714" spans="1:10" ht="15.75" customHeight="1" x14ac:dyDescent="0.2">
      <c r="A714" s="1"/>
      <c r="B714" s="150"/>
      <c r="C714" s="179"/>
      <c r="D714" s="179"/>
      <c r="E714" s="180"/>
      <c r="F714" s="180"/>
      <c r="G714" s="179"/>
      <c r="H714" s="179"/>
      <c r="I714" s="179"/>
      <c r="J714" s="179"/>
    </row>
    <row r="715" spans="1:10" ht="15.75" customHeight="1" x14ac:dyDescent="0.2">
      <c r="A715" s="1"/>
      <c r="B715" s="150"/>
      <c r="C715" s="179"/>
      <c r="D715" s="179"/>
      <c r="E715" s="180"/>
      <c r="F715" s="180"/>
      <c r="G715" s="179"/>
      <c r="H715" s="179"/>
      <c r="I715" s="179"/>
      <c r="J715" s="179"/>
    </row>
    <row r="716" spans="1:10" ht="15.75" customHeight="1" x14ac:dyDescent="0.2">
      <c r="A716" s="1"/>
      <c r="B716" s="150"/>
      <c r="C716" s="179"/>
      <c r="D716" s="179"/>
      <c r="E716" s="180"/>
      <c r="F716" s="180"/>
      <c r="G716" s="179"/>
      <c r="H716" s="179"/>
      <c r="I716" s="179"/>
      <c r="J716" s="179"/>
    </row>
    <row r="717" spans="1:10" ht="15.75" customHeight="1" x14ac:dyDescent="0.2">
      <c r="A717" s="1"/>
      <c r="B717" s="150"/>
      <c r="C717" s="179"/>
      <c r="D717" s="179"/>
      <c r="E717" s="180"/>
      <c r="F717" s="180"/>
      <c r="G717" s="179"/>
      <c r="H717" s="179"/>
      <c r="I717" s="179"/>
      <c r="J717" s="179"/>
    </row>
    <row r="718" spans="1:10" ht="15.75" customHeight="1" x14ac:dyDescent="0.2">
      <c r="A718" s="1"/>
      <c r="B718" s="150"/>
      <c r="C718" s="179"/>
      <c r="D718" s="179"/>
      <c r="E718" s="180"/>
      <c r="F718" s="180"/>
      <c r="G718" s="179"/>
      <c r="H718" s="179"/>
      <c r="I718" s="179"/>
      <c r="J718" s="179"/>
    </row>
    <row r="719" spans="1:10" ht="15.75" customHeight="1" x14ac:dyDescent="0.2">
      <c r="A719" s="1"/>
      <c r="B719" s="150"/>
      <c r="C719" s="179"/>
      <c r="D719" s="179"/>
      <c r="E719" s="180"/>
      <c r="F719" s="180"/>
      <c r="G719" s="179"/>
      <c r="H719" s="179"/>
      <c r="I719" s="179"/>
      <c r="J719" s="179"/>
    </row>
    <row r="720" spans="1:10" ht="15.75" customHeight="1" x14ac:dyDescent="0.2">
      <c r="A720" s="1"/>
      <c r="B720" s="150"/>
      <c r="C720" s="179"/>
      <c r="D720" s="179"/>
      <c r="E720" s="180"/>
      <c r="F720" s="180"/>
      <c r="G720" s="179"/>
      <c r="H720" s="179"/>
      <c r="I720" s="179"/>
      <c r="J720" s="179"/>
    </row>
    <row r="721" spans="1:10" ht="15.75" customHeight="1" x14ac:dyDescent="0.2">
      <c r="A721" s="1"/>
      <c r="B721" s="150"/>
      <c r="C721" s="179"/>
      <c r="D721" s="179"/>
      <c r="E721" s="180"/>
      <c r="F721" s="180"/>
      <c r="G721" s="179"/>
      <c r="H721" s="179"/>
      <c r="I721" s="179"/>
      <c r="J721" s="179"/>
    </row>
    <row r="722" spans="1:10" ht="15.75" customHeight="1" x14ac:dyDescent="0.2">
      <c r="A722" s="1"/>
      <c r="B722" s="150"/>
      <c r="C722" s="179"/>
      <c r="D722" s="179"/>
      <c r="E722" s="180"/>
      <c r="F722" s="180"/>
      <c r="G722" s="179"/>
      <c r="H722" s="179"/>
      <c r="I722" s="179"/>
      <c r="J722" s="179"/>
    </row>
    <row r="723" spans="1:10" ht="15.75" customHeight="1" x14ac:dyDescent="0.2">
      <c r="A723" s="1"/>
      <c r="B723" s="150"/>
      <c r="C723" s="179"/>
      <c r="D723" s="179"/>
      <c r="E723" s="180"/>
      <c r="F723" s="180"/>
      <c r="G723" s="179"/>
      <c r="H723" s="179"/>
      <c r="I723" s="179"/>
      <c r="J723" s="179"/>
    </row>
    <row r="724" spans="1:10" ht="15.75" customHeight="1" x14ac:dyDescent="0.2">
      <c r="A724" s="1"/>
      <c r="B724" s="150"/>
      <c r="C724" s="179"/>
      <c r="D724" s="179"/>
      <c r="E724" s="180"/>
      <c r="F724" s="180"/>
      <c r="G724" s="179"/>
      <c r="H724" s="179"/>
      <c r="I724" s="179"/>
      <c r="J724" s="179"/>
    </row>
    <row r="725" spans="1:10" ht="15.75" customHeight="1" x14ac:dyDescent="0.2">
      <c r="A725" s="1"/>
      <c r="B725" s="150"/>
      <c r="C725" s="179"/>
      <c r="D725" s="179"/>
      <c r="E725" s="180"/>
      <c r="F725" s="180"/>
      <c r="G725" s="179"/>
      <c r="H725" s="179"/>
      <c r="I725" s="179"/>
      <c r="J725" s="179"/>
    </row>
    <row r="726" spans="1:10" ht="15.75" customHeight="1" x14ac:dyDescent="0.2">
      <c r="A726" s="1"/>
      <c r="B726" s="150"/>
      <c r="C726" s="179"/>
      <c r="D726" s="179"/>
      <c r="E726" s="180"/>
      <c r="F726" s="180"/>
      <c r="G726" s="179"/>
      <c r="H726" s="179"/>
      <c r="I726" s="179"/>
      <c r="J726" s="179"/>
    </row>
    <row r="727" spans="1:10" ht="15.75" customHeight="1" x14ac:dyDescent="0.2">
      <c r="A727" s="1"/>
      <c r="B727" s="150"/>
      <c r="C727" s="179"/>
      <c r="D727" s="179"/>
      <c r="E727" s="180"/>
      <c r="F727" s="180"/>
      <c r="G727" s="179"/>
      <c r="H727" s="179"/>
      <c r="I727" s="179"/>
      <c r="J727" s="179"/>
    </row>
    <row r="728" spans="1:10" ht="15.75" customHeight="1" x14ac:dyDescent="0.2">
      <c r="A728" s="1"/>
      <c r="B728" s="150"/>
      <c r="C728" s="179"/>
      <c r="D728" s="179"/>
      <c r="E728" s="180"/>
      <c r="F728" s="180"/>
      <c r="G728" s="179"/>
      <c r="H728" s="179"/>
      <c r="I728" s="179"/>
      <c r="J728" s="179"/>
    </row>
    <row r="729" spans="1:10" ht="15.75" customHeight="1" x14ac:dyDescent="0.2">
      <c r="A729" s="1"/>
      <c r="B729" s="150"/>
      <c r="C729" s="179"/>
      <c r="D729" s="179"/>
      <c r="E729" s="180"/>
      <c r="F729" s="180"/>
      <c r="G729" s="179"/>
      <c r="H729" s="179"/>
      <c r="I729" s="179"/>
      <c r="J729" s="179"/>
    </row>
    <row r="730" spans="1:10" ht="15.75" customHeight="1" x14ac:dyDescent="0.2">
      <c r="A730" s="1"/>
      <c r="B730" s="150"/>
      <c r="C730" s="179"/>
      <c r="D730" s="179"/>
      <c r="E730" s="180"/>
      <c r="F730" s="180"/>
      <c r="G730" s="179"/>
      <c r="H730" s="179"/>
      <c r="I730" s="179"/>
      <c r="J730" s="179"/>
    </row>
    <row r="731" spans="1:10" ht="15.75" customHeight="1" x14ac:dyDescent="0.2">
      <c r="A731" s="1"/>
      <c r="B731" s="150"/>
      <c r="C731" s="179"/>
      <c r="D731" s="179"/>
      <c r="E731" s="180"/>
      <c r="F731" s="180"/>
      <c r="G731" s="179"/>
      <c r="H731" s="179"/>
      <c r="I731" s="179"/>
      <c r="J731" s="179"/>
    </row>
    <row r="732" spans="1:10" ht="15.75" customHeight="1" x14ac:dyDescent="0.2">
      <c r="A732" s="1"/>
      <c r="B732" s="150"/>
      <c r="C732" s="179"/>
      <c r="D732" s="179"/>
      <c r="E732" s="180"/>
      <c r="F732" s="180"/>
      <c r="G732" s="179"/>
      <c r="H732" s="179"/>
      <c r="I732" s="179"/>
      <c r="J732" s="179"/>
    </row>
    <row r="733" spans="1:10" ht="15.75" customHeight="1" x14ac:dyDescent="0.2">
      <c r="A733" s="1"/>
      <c r="B733" s="150"/>
      <c r="C733" s="179"/>
      <c r="D733" s="179"/>
      <c r="E733" s="180"/>
      <c r="F733" s="180"/>
      <c r="G733" s="179"/>
      <c r="H733" s="179"/>
      <c r="I733" s="179"/>
      <c r="J733" s="179"/>
    </row>
    <row r="734" spans="1:10" ht="15.75" customHeight="1" x14ac:dyDescent="0.2">
      <c r="A734" s="1"/>
      <c r="B734" s="150"/>
      <c r="C734" s="179"/>
      <c r="D734" s="179"/>
      <c r="E734" s="180"/>
      <c r="F734" s="180"/>
      <c r="G734" s="179"/>
      <c r="H734" s="179"/>
      <c r="I734" s="179"/>
      <c r="J734" s="179"/>
    </row>
    <row r="735" spans="1:10" ht="15.75" customHeight="1" x14ac:dyDescent="0.2">
      <c r="A735" s="1"/>
      <c r="B735" s="150"/>
      <c r="C735" s="179"/>
      <c r="D735" s="179"/>
      <c r="E735" s="180"/>
      <c r="F735" s="180"/>
      <c r="G735" s="179"/>
      <c r="H735" s="179"/>
      <c r="I735" s="179"/>
      <c r="J735" s="179"/>
    </row>
    <row r="736" spans="1:10" ht="15.75" customHeight="1" x14ac:dyDescent="0.2">
      <c r="A736" s="1"/>
      <c r="B736" s="150"/>
      <c r="C736" s="179"/>
      <c r="D736" s="179"/>
      <c r="E736" s="180"/>
      <c r="F736" s="180"/>
      <c r="G736" s="179"/>
      <c r="H736" s="179"/>
      <c r="I736" s="179"/>
      <c r="J736" s="179"/>
    </row>
    <row r="737" spans="1:10" ht="15.75" customHeight="1" x14ac:dyDescent="0.2">
      <c r="A737" s="1"/>
      <c r="B737" s="150"/>
      <c r="C737" s="179"/>
      <c r="D737" s="179"/>
      <c r="E737" s="180"/>
      <c r="F737" s="180"/>
      <c r="G737" s="179"/>
      <c r="H737" s="179"/>
      <c r="I737" s="179"/>
      <c r="J737" s="179"/>
    </row>
    <row r="738" spans="1:10" ht="15.75" customHeight="1" x14ac:dyDescent="0.2">
      <c r="A738" s="1"/>
      <c r="B738" s="150"/>
      <c r="C738" s="179"/>
      <c r="D738" s="179"/>
      <c r="E738" s="180"/>
      <c r="F738" s="180"/>
      <c r="G738" s="179"/>
      <c r="H738" s="179"/>
      <c r="I738" s="179"/>
      <c r="J738" s="179"/>
    </row>
    <row r="739" spans="1:10" ht="15.75" customHeight="1" x14ac:dyDescent="0.2">
      <c r="A739" s="1"/>
      <c r="B739" s="150"/>
      <c r="C739" s="179"/>
      <c r="D739" s="179"/>
      <c r="E739" s="180"/>
      <c r="F739" s="180"/>
      <c r="G739" s="179"/>
      <c r="H739" s="179"/>
      <c r="I739" s="179"/>
      <c r="J739" s="179"/>
    </row>
    <row r="740" spans="1:10" ht="15.75" customHeight="1" x14ac:dyDescent="0.2">
      <c r="A740" s="1"/>
      <c r="B740" s="150"/>
      <c r="C740" s="179"/>
      <c r="D740" s="179"/>
      <c r="E740" s="180"/>
      <c r="F740" s="180"/>
      <c r="G740" s="179"/>
      <c r="H740" s="179"/>
      <c r="I740" s="179"/>
      <c r="J740" s="179"/>
    </row>
    <row r="741" spans="1:10" ht="15.75" customHeight="1" x14ac:dyDescent="0.2">
      <c r="A741" s="1"/>
      <c r="B741" s="150"/>
      <c r="C741" s="179"/>
      <c r="D741" s="179"/>
      <c r="E741" s="180"/>
      <c r="F741" s="180"/>
      <c r="G741" s="179"/>
      <c r="H741" s="179"/>
      <c r="I741" s="179"/>
      <c r="J741" s="179"/>
    </row>
    <row r="742" spans="1:10" ht="15.75" customHeight="1" x14ac:dyDescent="0.2">
      <c r="A742" s="1"/>
      <c r="B742" s="150"/>
      <c r="C742" s="179"/>
      <c r="D742" s="179"/>
      <c r="E742" s="180"/>
      <c r="F742" s="180"/>
      <c r="G742" s="179"/>
      <c r="H742" s="179"/>
      <c r="I742" s="179"/>
      <c r="J742" s="179"/>
    </row>
    <row r="743" spans="1:10" ht="15.75" customHeight="1" x14ac:dyDescent="0.2">
      <c r="A743" s="1"/>
      <c r="B743" s="150"/>
      <c r="C743" s="179"/>
      <c r="D743" s="179"/>
      <c r="E743" s="180"/>
      <c r="F743" s="180"/>
      <c r="G743" s="179"/>
      <c r="H743" s="179"/>
      <c r="I743" s="179"/>
      <c r="J743" s="179"/>
    </row>
    <row r="744" spans="1:10" ht="15.75" customHeight="1" x14ac:dyDescent="0.2">
      <c r="A744" s="1"/>
      <c r="B744" s="150"/>
      <c r="C744" s="179"/>
      <c r="D744" s="179"/>
      <c r="E744" s="180"/>
      <c r="F744" s="180"/>
      <c r="G744" s="179"/>
      <c r="H744" s="179"/>
      <c r="I744" s="179"/>
      <c r="J744" s="179"/>
    </row>
    <row r="745" spans="1:10" ht="15.75" customHeight="1" x14ac:dyDescent="0.2">
      <c r="A745" s="1"/>
      <c r="B745" s="150"/>
      <c r="C745" s="179"/>
      <c r="D745" s="179"/>
      <c r="E745" s="180"/>
      <c r="F745" s="180"/>
      <c r="G745" s="179"/>
      <c r="H745" s="179"/>
      <c r="I745" s="179"/>
      <c r="J745" s="179"/>
    </row>
    <row r="746" spans="1:10" ht="15.75" customHeight="1" x14ac:dyDescent="0.2">
      <c r="A746" s="1"/>
      <c r="B746" s="150"/>
      <c r="C746" s="179"/>
      <c r="D746" s="179"/>
      <c r="E746" s="180"/>
      <c r="F746" s="180"/>
      <c r="G746" s="179"/>
      <c r="H746" s="179"/>
      <c r="I746" s="179"/>
      <c r="J746" s="179"/>
    </row>
    <row r="747" spans="1:10" ht="15.75" customHeight="1" x14ac:dyDescent="0.2">
      <c r="A747" s="1"/>
      <c r="B747" s="150"/>
      <c r="C747" s="179"/>
      <c r="D747" s="179"/>
      <c r="E747" s="180"/>
      <c r="F747" s="180"/>
      <c r="G747" s="179"/>
      <c r="H747" s="179"/>
      <c r="I747" s="179"/>
      <c r="J747" s="179"/>
    </row>
    <row r="748" spans="1:10" ht="15.75" customHeight="1" x14ac:dyDescent="0.2">
      <c r="A748" s="1"/>
      <c r="B748" s="150"/>
      <c r="C748" s="179"/>
      <c r="D748" s="179"/>
      <c r="E748" s="180"/>
      <c r="F748" s="180"/>
      <c r="G748" s="179"/>
      <c r="H748" s="179"/>
      <c r="I748" s="179"/>
      <c r="J748" s="179"/>
    </row>
    <row r="749" spans="1:10" ht="15.75" customHeight="1" x14ac:dyDescent="0.2">
      <c r="A749" s="1"/>
      <c r="B749" s="150"/>
      <c r="C749" s="179"/>
      <c r="D749" s="179"/>
      <c r="E749" s="180"/>
      <c r="F749" s="180"/>
      <c r="G749" s="179"/>
      <c r="H749" s="179"/>
      <c r="I749" s="179"/>
      <c r="J749" s="179"/>
    </row>
    <row r="750" spans="1:10" ht="15.75" customHeight="1" x14ac:dyDescent="0.2">
      <c r="A750" s="1"/>
      <c r="B750" s="150"/>
      <c r="C750" s="179"/>
      <c r="D750" s="179"/>
      <c r="E750" s="180"/>
      <c r="F750" s="180"/>
      <c r="G750" s="179"/>
      <c r="H750" s="179"/>
      <c r="I750" s="179"/>
      <c r="J750" s="179"/>
    </row>
    <row r="751" spans="1:10" ht="15.75" customHeight="1" x14ac:dyDescent="0.2">
      <c r="A751" s="1"/>
      <c r="B751" s="150"/>
      <c r="C751" s="179"/>
      <c r="D751" s="179"/>
      <c r="E751" s="180"/>
      <c r="F751" s="180"/>
      <c r="G751" s="179"/>
      <c r="H751" s="179"/>
      <c r="I751" s="179"/>
      <c r="J751" s="179"/>
    </row>
    <row r="752" spans="1:10" ht="15.75" customHeight="1" x14ac:dyDescent="0.2">
      <c r="A752" s="1"/>
      <c r="B752" s="150"/>
      <c r="C752" s="179"/>
      <c r="D752" s="179"/>
      <c r="E752" s="180"/>
      <c r="F752" s="180"/>
      <c r="G752" s="179"/>
      <c r="H752" s="179"/>
      <c r="I752" s="179"/>
      <c r="J752" s="179"/>
    </row>
    <row r="753" spans="1:10" ht="15.75" customHeight="1" x14ac:dyDescent="0.2">
      <c r="A753" s="1"/>
      <c r="B753" s="150"/>
      <c r="C753" s="179"/>
      <c r="D753" s="179"/>
      <c r="E753" s="180"/>
      <c r="F753" s="180"/>
      <c r="G753" s="179"/>
      <c r="H753" s="179"/>
      <c r="I753" s="179"/>
      <c r="J753" s="179"/>
    </row>
    <row r="754" spans="1:10" ht="15.75" customHeight="1" x14ac:dyDescent="0.2">
      <c r="A754" s="1"/>
      <c r="B754" s="150"/>
      <c r="C754" s="179"/>
      <c r="D754" s="179"/>
      <c r="E754" s="180"/>
      <c r="F754" s="180"/>
      <c r="G754" s="179"/>
      <c r="H754" s="179"/>
      <c r="I754" s="179"/>
      <c r="J754" s="179"/>
    </row>
    <row r="755" spans="1:10" ht="15.75" customHeight="1" x14ac:dyDescent="0.2">
      <c r="A755" s="1"/>
      <c r="B755" s="150"/>
      <c r="C755" s="179"/>
      <c r="D755" s="179"/>
      <c r="E755" s="180"/>
      <c r="F755" s="180"/>
      <c r="G755" s="179"/>
      <c r="H755" s="179"/>
      <c r="I755" s="179"/>
      <c r="J755" s="179"/>
    </row>
    <row r="756" spans="1:10" ht="15.75" customHeight="1" x14ac:dyDescent="0.2">
      <c r="A756" s="1"/>
      <c r="B756" s="150"/>
      <c r="C756" s="179"/>
      <c r="D756" s="179"/>
      <c r="E756" s="180"/>
      <c r="F756" s="180"/>
      <c r="G756" s="179"/>
      <c r="H756" s="179"/>
      <c r="I756" s="179"/>
      <c r="J756" s="179"/>
    </row>
    <row r="757" spans="1:10" ht="15.75" customHeight="1" x14ac:dyDescent="0.2">
      <c r="A757" s="1"/>
      <c r="B757" s="150"/>
      <c r="C757" s="179"/>
      <c r="D757" s="179"/>
      <c r="E757" s="180"/>
      <c r="F757" s="180"/>
      <c r="G757" s="179"/>
      <c r="H757" s="179"/>
      <c r="I757" s="179"/>
      <c r="J757" s="179"/>
    </row>
    <row r="758" spans="1:10" ht="15.75" customHeight="1" x14ac:dyDescent="0.2">
      <c r="A758" s="1"/>
      <c r="B758" s="150"/>
      <c r="C758" s="179"/>
      <c r="D758" s="179"/>
      <c r="E758" s="180"/>
      <c r="F758" s="180"/>
      <c r="G758" s="179"/>
      <c r="H758" s="179"/>
      <c r="I758" s="179"/>
      <c r="J758" s="179"/>
    </row>
    <row r="759" spans="1:10" ht="15.75" customHeight="1" x14ac:dyDescent="0.2">
      <c r="A759" s="1"/>
      <c r="B759" s="150"/>
      <c r="C759" s="179"/>
      <c r="D759" s="179"/>
      <c r="E759" s="180"/>
      <c r="F759" s="180"/>
      <c r="G759" s="179"/>
      <c r="H759" s="179"/>
      <c r="I759" s="179"/>
      <c r="J759" s="179"/>
    </row>
    <row r="760" spans="1:10" ht="15.75" customHeight="1" x14ac:dyDescent="0.2">
      <c r="A760" s="1"/>
      <c r="B760" s="150"/>
      <c r="C760" s="179"/>
      <c r="D760" s="179"/>
      <c r="E760" s="180"/>
      <c r="F760" s="180"/>
      <c r="G760" s="179"/>
      <c r="H760" s="179"/>
      <c r="I760" s="179"/>
      <c r="J760" s="179"/>
    </row>
    <row r="761" spans="1:10" ht="15.75" customHeight="1" x14ac:dyDescent="0.2">
      <c r="A761" s="1"/>
      <c r="B761" s="150"/>
      <c r="C761" s="179"/>
      <c r="D761" s="179"/>
      <c r="E761" s="180"/>
      <c r="F761" s="180"/>
      <c r="G761" s="179"/>
      <c r="H761" s="179"/>
      <c r="I761" s="179"/>
      <c r="J761" s="179"/>
    </row>
    <row r="762" spans="1:10" ht="15.75" customHeight="1" x14ac:dyDescent="0.2">
      <c r="A762" s="1"/>
      <c r="B762" s="150"/>
      <c r="C762" s="179"/>
      <c r="D762" s="179"/>
      <c r="E762" s="180"/>
      <c r="F762" s="180"/>
      <c r="G762" s="179"/>
      <c r="H762" s="179"/>
      <c r="I762" s="179"/>
      <c r="J762" s="179"/>
    </row>
    <row r="763" spans="1:10" ht="15.75" customHeight="1" x14ac:dyDescent="0.2">
      <c r="A763" s="1"/>
      <c r="B763" s="150"/>
      <c r="C763" s="179"/>
      <c r="D763" s="179"/>
      <c r="E763" s="180"/>
      <c r="F763" s="180"/>
      <c r="G763" s="179"/>
      <c r="H763" s="179"/>
      <c r="I763" s="179"/>
      <c r="J763" s="179"/>
    </row>
    <row r="764" spans="1:10" ht="15.75" customHeight="1" x14ac:dyDescent="0.2">
      <c r="A764" s="1"/>
      <c r="B764" s="150"/>
      <c r="C764" s="179"/>
      <c r="D764" s="179"/>
      <c r="E764" s="180"/>
      <c r="F764" s="180"/>
      <c r="G764" s="179"/>
      <c r="H764" s="179"/>
      <c r="I764" s="179"/>
      <c r="J764" s="179"/>
    </row>
    <row r="765" spans="1:10" ht="15.75" customHeight="1" x14ac:dyDescent="0.2">
      <c r="A765" s="1"/>
      <c r="B765" s="150"/>
      <c r="C765" s="179"/>
      <c r="D765" s="179"/>
      <c r="E765" s="180"/>
      <c r="F765" s="180"/>
      <c r="G765" s="179"/>
      <c r="H765" s="179"/>
      <c r="I765" s="179"/>
      <c r="J765" s="179"/>
    </row>
    <row r="766" spans="1:10" ht="15.75" customHeight="1" x14ac:dyDescent="0.2">
      <c r="A766" s="1"/>
      <c r="B766" s="150"/>
      <c r="C766" s="179"/>
      <c r="D766" s="179"/>
      <c r="E766" s="180"/>
      <c r="F766" s="180"/>
      <c r="G766" s="179"/>
      <c r="H766" s="179"/>
      <c r="I766" s="179"/>
      <c r="J766" s="179"/>
    </row>
    <row r="767" spans="1:10" ht="15.75" customHeight="1" x14ac:dyDescent="0.2">
      <c r="A767" s="1"/>
      <c r="B767" s="150"/>
      <c r="C767" s="179"/>
      <c r="D767" s="179"/>
      <c r="E767" s="180"/>
      <c r="F767" s="180"/>
      <c r="G767" s="179"/>
      <c r="H767" s="179"/>
      <c r="I767" s="179"/>
      <c r="J767" s="179"/>
    </row>
    <row r="768" spans="1:10" ht="15.75" customHeight="1" x14ac:dyDescent="0.2">
      <c r="A768" s="1"/>
      <c r="B768" s="150"/>
      <c r="C768" s="179"/>
      <c r="D768" s="179"/>
      <c r="E768" s="180"/>
      <c r="F768" s="180"/>
      <c r="G768" s="179"/>
      <c r="H768" s="179"/>
      <c r="I768" s="179"/>
      <c r="J768" s="179"/>
    </row>
    <row r="769" spans="1:10" ht="15.75" customHeight="1" x14ac:dyDescent="0.2">
      <c r="A769" s="1"/>
      <c r="B769" s="150"/>
      <c r="C769" s="179"/>
      <c r="D769" s="179"/>
      <c r="E769" s="180"/>
      <c r="F769" s="180"/>
      <c r="G769" s="179"/>
      <c r="H769" s="179"/>
      <c r="I769" s="179"/>
      <c r="J769" s="179"/>
    </row>
    <row r="770" spans="1:10" ht="15.75" customHeight="1" x14ac:dyDescent="0.2">
      <c r="A770" s="1"/>
      <c r="B770" s="150"/>
      <c r="C770" s="179"/>
      <c r="D770" s="179"/>
      <c r="E770" s="180"/>
      <c r="F770" s="180"/>
      <c r="G770" s="179"/>
      <c r="H770" s="179"/>
      <c r="I770" s="179"/>
      <c r="J770" s="179"/>
    </row>
    <row r="771" spans="1:10" ht="15.75" customHeight="1" x14ac:dyDescent="0.2">
      <c r="A771" s="1"/>
      <c r="B771" s="150"/>
      <c r="C771" s="179"/>
      <c r="D771" s="179"/>
      <c r="E771" s="180"/>
      <c r="F771" s="180"/>
      <c r="G771" s="179"/>
      <c r="H771" s="179"/>
      <c r="I771" s="179"/>
      <c r="J771" s="179"/>
    </row>
    <row r="772" spans="1:10" ht="15.75" customHeight="1" x14ac:dyDescent="0.2">
      <c r="A772" s="1"/>
      <c r="B772" s="150"/>
      <c r="C772" s="179"/>
      <c r="D772" s="179"/>
      <c r="E772" s="180"/>
      <c r="F772" s="180"/>
      <c r="G772" s="179"/>
      <c r="H772" s="179"/>
      <c r="I772" s="179"/>
      <c r="J772" s="179"/>
    </row>
    <row r="773" spans="1:10" ht="15.75" customHeight="1" x14ac:dyDescent="0.2">
      <c r="A773" s="1"/>
      <c r="B773" s="150"/>
      <c r="C773" s="179"/>
      <c r="D773" s="179"/>
      <c r="E773" s="180"/>
      <c r="F773" s="180"/>
      <c r="G773" s="179"/>
      <c r="H773" s="179"/>
      <c r="I773" s="179"/>
      <c r="J773" s="179"/>
    </row>
    <row r="774" spans="1:10" ht="15.75" customHeight="1" x14ac:dyDescent="0.2">
      <c r="A774" s="1"/>
      <c r="B774" s="150"/>
      <c r="C774" s="179"/>
      <c r="D774" s="179"/>
      <c r="E774" s="180"/>
      <c r="F774" s="180"/>
      <c r="G774" s="179"/>
      <c r="H774" s="179"/>
      <c r="I774" s="179"/>
      <c r="J774" s="179"/>
    </row>
    <row r="775" spans="1:10" ht="15.75" customHeight="1" x14ac:dyDescent="0.2">
      <c r="A775" s="1"/>
      <c r="B775" s="150"/>
      <c r="C775" s="179"/>
      <c r="D775" s="179"/>
      <c r="E775" s="180"/>
      <c r="F775" s="180"/>
      <c r="G775" s="179"/>
      <c r="H775" s="179"/>
      <c r="I775" s="179"/>
      <c r="J775" s="179"/>
    </row>
    <row r="776" spans="1:10" ht="15.75" customHeight="1" x14ac:dyDescent="0.2">
      <c r="A776" s="1"/>
      <c r="B776" s="150"/>
      <c r="C776" s="179"/>
      <c r="D776" s="179"/>
      <c r="E776" s="180"/>
      <c r="F776" s="180"/>
      <c r="G776" s="179"/>
      <c r="H776" s="179"/>
      <c r="I776" s="179"/>
      <c r="J776" s="179"/>
    </row>
    <row r="777" spans="1:10" ht="15.75" customHeight="1" x14ac:dyDescent="0.2">
      <c r="A777" s="1"/>
      <c r="B777" s="150"/>
      <c r="C777" s="179"/>
      <c r="D777" s="179"/>
      <c r="E777" s="180"/>
      <c r="F777" s="180"/>
      <c r="G777" s="179"/>
      <c r="H777" s="179"/>
      <c r="I777" s="179"/>
      <c r="J777" s="179"/>
    </row>
    <row r="778" spans="1:10" ht="15.75" customHeight="1" x14ac:dyDescent="0.2">
      <c r="A778" s="1"/>
      <c r="B778" s="150"/>
      <c r="C778" s="179"/>
      <c r="D778" s="179"/>
      <c r="E778" s="180"/>
      <c r="F778" s="180"/>
      <c r="G778" s="179"/>
      <c r="H778" s="179"/>
      <c r="I778" s="179"/>
      <c r="J778" s="179"/>
    </row>
    <row r="779" spans="1:10" ht="15.75" customHeight="1" x14ac:dyDescent="0.2">
      <c r="A779" s="1"/>
      <c r="B779" s="150"/>
      <c r="C779" s="179"/>
      <c r="D779" s="179"/>
      <c r="E779" s="180"/>
      <c r="F779" s="180"/>
      <c r="G779" s="179"/>
      <c r="H779" s="179"/>
      <c r="I779" s="179"/>
      <c r="J779" s="179"/>
    </row>
    <row r="780" spans="1:10" ht="15.75" customHeight="1" x14ac:dyDescent="0.2">
      <c r="A780" s="1"/>
      <c r="B780" s="150"/>
      <c r="C780" s="179"/>
      <c r="D780" s="179"/>
      <c r="E780" s="180"/>
      <c r="F780" s="180"/>
      <c r="G780" s="179"/>
      <c r="H780" s="179"/>
      <c r="I780" s="179"/>
      <c r="J780" s="179"/>
    </row>
    <row r="781" spans="1:10" ht="15.75" customHeight="1" x14ac:dyDescent="0.2">
      <c r="A781" s="1"/>
      <c r="B781" s="150"/>
      <c r="C781" s="179"/>
      <c r="D781" s="179"/>
      <c r="E781" s="180"/>
      <c r="F781" s="180"/>
      <c r="G781" s="179"/>
      <c r="H781" s="179"/>
      <c r="I781" s="179"/>
      <c r="J781" s="179"/>
    </row>
    <row r="782" spans="1:10" ht="15.75" customHeight="1" x14ac:dyDescent="0.2">
      <c r="A782" s="1"/>
      <c r="B782" s="150"/>
      <c r="C782" s="179"/>
      <c r="D782" s="179"/>
      <c r="E782" s="180"/>
      <c r="F782" s="180"/>
      <c r="G782" s="179"/>
      <c r="H782" s="179"/>
      <c r="I782" s="179"/>
      <c r="J782" s="179"/>
    </row>
    <row r="783" spans="1:10" ht="15.75" customHeight="1" x14ac:dyDescent="0.2">
      <c r="A783" s="1"/>
      <c r="B783" s="150"/>
      <c r="C783" s="179"/>
      <c r="D783" s="179"/>
      <c r="E783" s="180"/>
      <c r="F783" s="180"/>
      <c r="G783" s="179"/>
      <c r="H783" s="179"/>
      <c r="I783" s="179"/>
      <c r="J783" s="179"/>
    </row>
    <row r="784" spans="1:10" ht="15.75" customHeight="1" x14ac:dyDescent="0.2">
      <c r="A784" s="1"/>
      <c r="B784" s="150"/>
      <c r="C784" s="179"/>
      <c r="D784" s="179"/>
      <c r="E784" s="180"/>
      <c r="F784" s="180"/>
      <c r="G784" s="179"/>
      <c r="H784" s="179"/>
      <c r="I784" s="179"/>
      <c r="J784" s="179"/>
    </row>
    <row r="785" spans="1:10" ht="15.75" customHeight="1" x14ac:dyDescent="0.2">
      <c r="A785" s="1"/>
      <c r="B785" s="150"/>
      <c r="C785" s="179"/>
      <c r="D785" s="179"/>
      <c r="E785" s="180"/>
      <c r="F785" s="180"/>
      <c r="G785" s="179"/>
      <c r="H785" s="179"/>
      <c r="I785" s="179"/>
      <c r="J785" s="179"/>
    </row>
    <row r="786" spans="1:10" ht="15.75" customHeight="1" x14ac:dyDescent="0.2">
      <c r="A786" s="1"/>
      <c r="B786" s="150"/>
      <c r="C786" s="179"/>
      <c r="D786" s="179"/>
      <c r="E786" s="180"/>
      <c r="F786" s="180"/>
      <c r="G786" s="179"/>
      <c r="H786" s="179"/>
      <c r="I786" s="179"/>
      <c r="J786" s="179"/>
    </row>
    <row r="787" spans="1:10" ht="15.75" customHeight="1" x14ac:dyDescent="0.2">
      <c r="A787" s="1"/>
      <c r="B787" s="150"/>
      <c r="C787" s="179"/>
      <c r="D787" s="179"/>
      <c r="E787" s="180"/>
      <c r="F787" s="180"/>
      <c r="G787" s="179"/>
      <c r="H787" s="179"/>
      <c r="I787" s="179"/>
      <c r="J787" s="179"/>
    </row>
    <row r="788" spans="1:10" ht="15.75" customHeight="1" x14ac:dyDescent="0.2">
      <c r="A788" s="1"/>
      <c r="B788" s="150"/>
      <c r="C788" s="179"/>
      <c r="D788" s="179"/>
      <c r="E788" s="180"/>
      <c r="F788" s="180"/>
      <c r="G788" s="179"/>
      <c r="H788" s="179"/>
      <c r="I788" s="179"/>
      <c r="J788" s="179"/>
    </row>
    <row r="789" spans="1:10" ht="15.75" customHeight="1" x14ac:dyDescent="0.2">
      <c r="A789" s="1"/>
      <c r="B789" s="150"/>
      <c r="C789" s="179"/>
      <c r="D789" s="179"/>
      <c r="E789" s="180"/>
      <c r="F789" s="180"/>
      <c r="G789" s="179"/>
      <c r="H789" s="179"/>
      <c r="I789" s="179"/>
      <c r="J789" s="179"/>
    </row>
    <row r="790" spans="1:10" ht="15.75" customHeight="1" x14ac:dyDescent="0.2">
      <c r="A790" s="1"/>
      <c r="B790" s="150"/>
      <c r="C790" s="179"/>
      <c r="D790" s="179"/>
      <c r="E790" s="180"/>
      <c r="F790" s="180"/>
      <c r="G790" s="179"/>
      <c r="H790" s="179"/>
      <c r="I790" s="179"/>
      <c r="J790" s="179"/>
    </row>
    <row r="791" spans="1:10" ht="15.75" customHeight="1" x14ac:dyDescent="0.2">
      <c r="A791" s="1"/>
      <c r="B791" s="150"/>
      <c r="C791" s="179"/>
      <c r="D791" s="179"/>
      <c r="E791" s="180"/>
      <c r="F791" s="180"/>
      <c r="G791" s="179"/>
      <c r="H791" s="179"/>
      <c r="I791" s="179"/>
      <c r="J791" s="179"/>
    </row>
    <row r="792" spans="1:10" ht="15.75" customHeight="1" x14ac:dyDescent="0.2">
      <c r="A792" s="1"/>
      <c r="B792" s="150"/>
      <c r="C792" s="179"/>
      <c r="D792" s="179"/>
      <c r="E792" s="180"/>
      <c r="F792" s="180"/>
      <c r="G792" s="179"/>
      <c r="H792" s="179"/>
      <c r="I792" s="179"/>
      <c r="J792" s="179"/>
    </row>
    <row r="793" spans="1:10" ht="15.75" customHeight="1" x14ac:dyDescent="0.2">
      <c r="A793" s="1"/>
      <c r="B793" s="150"/>
      <c r="C793" s="179"/>
      <c r="D793" s="179"/>
      <c r="E793" s="180"/>
      <c r="F793" s="180"/>
      <c r="G793" s="179"/>
      <c r="H793" s="179"/>
      <c r="I793" s="179"/>
      <c r="J793" s="179"/>
    </row>
    <row r="794" spans="1:10" ht="15.75" customHeight="1" x14ac:dyDescent="0.2">
      <c r="A794" s="1"/>
      <c r="B794" s="150"/>
      <c r="C794" s="179"/>
      <c r="D794" s="179"/>
      <c r="E794" s="180"/>
      <c r="F794" s="180"/>
      <c r="G794" s="179"/>
      <c r="H794" s="179"/>
      <c r="I794" s="179"/>
      <c r="J794" s="179"/>
    </row>
    <row r="795" spans="1:10" ht="15.75" customHeight="1" x14ac:dyDescent="0.2">
      <c r="A795" s="1"/>
      <c r="B795" s="150"/>
      <c r="C795" s="179"/>
      <c r="D795" s="179"/>
      <c r="E795" s="180"/>
      <c r="F795" s="180"/>
      <c r="G795" s="179"/>
      <c r="H795" s="179"/>
      <c r="I795" s="179"/>
      <c r="J795" s="179"/>
    </row>
    <row r="796" spans="1:10" ht="15.75" customHeight="1" x14ac:dyDescent="0.2">
      <c r="A796" s="1"/>
      <c r="B796" s="150"/>
      <c r="C796" s="179"/>
      <c r="D796" s="179"/>
      <c r="E796" s="180"/>
      <c r="F796" s="180"/>
      <c r="G796" s="179"/>
      <c r="H796" s="179"/>
      <c r="I796" s="179"/>
      <c r="J796" s="179"/>
    </row>
    <row r="797" spans="1:10" ht="15.75" customHeight="1" x14ac:dyDescent="0.2">
      <c r="A797" s="1"/>
      <c r="B797" s="150"/>
      <c r="C797" s="179"/>
      <c r="D797" s="179"/>
      <c r="E797" s="180"/>
      <c r="F797" s="180"/>
      <c r="G797" s="179"/>
      <c r="H797" s="179"/>
      <c r="I797" s="179"/>
      <c r="J797" s="179"/>
    </row>
    <row r="798" spans="1:10" ht="15.75" customHeight="1" x14ac:dyDescent="0.2">
      <c r="A798" s="1"/>
      <c r="B798" s="150"/>
      <c r="C798" s="179"/>
      <c r="D798" s="179"/>
      <c r="E798" s="180"/>
      <c r="F798" s="180"/>
      <c r="G798" s="179"/>
      <c r="H798" s="179"/>
      <c r="I798" s="179"/>
      <c r="J798" s="179"/>
    </row>
    <row r="799" spans="1:10" ht="15.75" customHeight="1" x14ac:dyDescent="0.2">
      <c r="A799" s="1"/>
      <c r="B799" s="150"/>
      <c r="C799" s="179"/>
      <c r="D799" s="179"/>
      <c r="E799" s="180"/>
      <c r="F799" s="180"/>
      <c r="G799" s="179"/>
      <c r="H799" s="179"/>
      <c r="I799" s="179"/>
      <c r="J799" s="179"/>
    </row>
    <row r="800" spans="1:10" ht="15.75" customHeight="1" x14ac:dyDescent="0.2">
      <c r="A800" s="1"/>
      <c r="B800" s="150"/>
      <c r="C800" s="179"/>
      <c r="D800" s="179"/>
      <c r="E800" s="180"/>
      <c r="F800" s="180"/>
      <c r="G800" s="179"/>
      <c r="H800" s="179"/>
      <c r="I800" s="179"/>
      <c r="J800" s="179"/>
    </row>
    <row r="801" spans="1:10" ht="15.75" customHeight="1" x14ac:dyDescent="0.2">
      <c r="A801" s="1"/>
      <c r="B801" s="150"/>
      <c r="C801" s="179"/>
      <c r="D801" s="179"/>
      <c r="E801" s="180"/>
      <c r="F801" s="180"/>
      <c r="G801" s="179"/>
      <c r="H801" s="179"/>
      <c r="I801" s="179"/>
      <c r="J801" s="179"/>
    </row>
    <row r="802" spans="1:10" ht="15.75" customHeight="1" x14ac:dyDescent="0.2">
      <c r="A802" s="1"/>
      <c r="B802" s="150"/>
      <c r="C802" s="179"/>
      <c r="D802" s="179"/>
      <c r="E802" s="180"/>
      <c r="F802" s="180"/>
      <c r="G802" s="179"/>
      <c r="H802" s="179"/>
      <c r="I802" s="179"/>
      <c r="J802" s="179"/>
    </row>
    <row r="803" spans="1:10" ht="15.75" customHeight="1" x14ac:dyDescent="0.2">
      <c r="A803" s="1"/>
      <c r="B803" s="150"/>
      <c r="C803" s="179"/>
      <c r="D803" s="179"/>
      <c r="E803" s="180"/>
      <c r="F803" s="180"/>
      <c r="G803" s="179"/>
      <c r="H803" s="179"/>
      <c r="I803" s="179"/>
      <c r="J803" s="179"/>
    </row>
    <row r="804" spans="1:10" ht="15.75" customHeight="1" x14ac:dyDescent="0.2">
      <c r="A804" s="1"/>
      <c r="B804" s="150"/>
      <c r="C804" s="179"/>
      <c r="D804" s="179"/>
      <c r="E804" s="180"/>
      <c r="F804" s="180"/>
      <c r="G804" s="179"/>
      <c r="H804" s="179"/>
      <c r="I804" s="179"/>
      <c r="J804" s="179"/>
    </row>
    <row r="805" spans="1:10" ht="15.75" customHeight="1" x14ac:dyDescent="0.2">
      <c r="A805" s="1"/>
      <c r="B805" s="150"/>
      <c r="C805" s="179"/>
      <c r="D805" s="179"/>
      <c r="E805" s="180"/>
      <c r="F805" s="180"/>
      <c r="G805" s="179"/>
      <c r="H805" s="179"/>
      <c r="I805" s="179"/>
      <c r="J805" s="179"/>
    </row>
    <row r="806" spans="1:10" ht="15.75" customHeight="1" x14ac:dyDescent="0.2">
      <c r="A806" s="1"/>
      <c r="B806" s="150"/>
      <c r="C806" s="179"/>
      <c r="D806" s="179"/>
      <c r="E806" s="180"/>
      <c r="F806" s="180"/>
      <c r="G806" s="179"/>
      <c r="H806" s="179"/>
      <c r="I806" s="179"/>
      <c r="J806" s="179"/>
    </row>
    <row r="807" spans="1:10" ht="15.75" customHeight="1" x14ac:dyDescent="0.2">
      <c r="A807" s="1"/>
      <c r="B807" s="150"/>
      <c r="C807" s="179"/>
      <c r="D807" s="179"/>
      <c r="E807" s="180"/>
      <c r="F807" s="180"/>
      <c r="G807" s="179"/>
      <c r="H807" s="179"/>
      <c r="I807" s="179"/>
      <c r="J807" s="179"/>
    </row>
    <row r="808" spans="1:10" ht="15.75" customHeight="1" x14ac:dyDescent="0.2">
      <c r="A808" s="1"/>
      <c r="B808" s="150"/>
      <c r="C808" s="179"/>
      <c r="D808" s="179"/>
      <c r="E808" s="180"/>
      <c r="F808" s="180"/>
      <c r="G808" s="179"/>
      <c r="H808" s="179"/>
      <c r="I808" s="179"/>
      <c r="J808" s="179"/>
    </row>
    <row r="809" spans="1:10" ht="15.75" customHeight="1" x14ac:dyDescent="0.2">
      <c r="A809" s="1"/>
      <c r="B809" s="150"/>
      <c r="C809" s="179"/>
      <c r="D809" s="179"/>
      <c r="E809" s="180"/>
      <c r="F809" s="180"/>
      <c r="G809" s="179"/>
      <c r="H809" s="179"/>
      <c r="I809" s="179"/>
      <c r="J809" s="179"/>
    </row>
    <row r="810" spans="1:10" ht="15.75" customHeight="1" x14ac:dyDescent="0.2">
      <c r="A810" s="1"/>
      <c r="B810" s="150"/>
      <c r="C810" s="179"/>
      <c r="D810" s="179"/>
      <c r="E810" s="180"/>
      <c r="F810" s="180"/>
      <c r="G810" s="179"/>
      <c r="H810" s="179"/>
      <c r="I810" s="179"/>
      <c r="J810" s="179"/>
    </row>
    <row r="811" spans="1:10" ht="15.75" customHeight="1" x14ac:dyDescent="0.2">
      <c r="A811" s="1"/>
      <c r="B811" s="150"/>
      <c r="C811" s="179"/>
      <c r="D811" s="179"/>
      <c r="E811" s="180"/>
      <c r="F811" s="180"/>
      <c r="G811" s="179"/>
      <c r="H811" s="179"/>
      <c r="I811" s="179"/>
      <c r="J811" s="179"/>
    </row>
    <row r="812" spans="1:10" ht="15.75" customHeight="1" x14ac:dyDescent="0.2">
      <c r="A812" s="1"/>
      <c r="B812" s="150"/>
      <c r="C812" s="179"/>
      <c r="D812" s="179"/>
      <c r="E812" s="180"/>
      <c r="F812" s="180"/>
      <c r="G812" s="179"/>
      <c r="H812" s="179"/>
      <c r="I812" s="179"/>
      <c r="J812" s="179"/>
    </row>
    <row r="813" spans="1:10" ht="15.75" customHeight="1" x14ac:dyDescent="0.2">
      <c r="A813" s="1"/>
      <c r="B813" s="150"/>
      <c r="C813" s="179"/>
      <c r="D813" s="179"/>
      <c r="E813" s="180"/>
      <c r="F813" s="180"/>
      <c r="G813" s="179"/>
      <c r="H813" s="179"/>
      <c r="I813" s="179"/>
      <c r="J813" s="179"/>
    </row>
    <row r="814" spans="1:10" ht="15.75" customHeight="1" x14ac:dyDescent="0.2">
      <c r="A814" s="1"/>
      <c r="B814" s="150"/>
      <c r="C814" s="179"/>
      <c r="D814" s="179"/>
      <c r="E814" s="180"/>
      <c r="F814" s="180"/>
      <c r="G814" s="179"/>
      <c r="H814" s="179"/>
      <c r="I814" s="179"/>
      <c r="J814" s="179"/>
    </row>
    <row r="815" spans="1:10" ht="15.75" customHeight="1" x14ac:dyDescent="0.2">
      <c r="A815" s="1"/>
      <c r="B815" s="150"/>
      <c r="C815" s="179"/>
      <c r="D815" s="179"/>
      <c r="E815" s="180"/>
      <c r="F815" s="180"/>
      <c r="G815" s="179"/>
      <c r="H815" s="179"/>
      <c r="I815" s="179"/>
      <c r="J815" s="179"/>
    </row>
    <row r="816" spans="1:10" ht="15.75" customHeight="1" x14ac:dyDescent="0.2">
      <c r="A816" s="1"/>
      <c r="B816" s="150"/>
      <c r="C816" s="179"/>
      <c r="D816" s="179"/>
      <c r="E816" s="180"/>
      <c r="F816" s="180"/>
      <c r="G816" s="179"/>
      <c r="H816" s="179"/>
      <c r="I816" s="179"/>
      <c r="J816" s="179"/>
    </row>
    <row r="817" spans="1:10" ht="15.75" customHeight="1" x14ac:dyDescent="0.2">
      <c r="A817" s="1"/>
      <c r="B817" s="150"/>
      <c r="C817" s="179"/>
      <c r="D817" s="179"/>
      <c r="E817" s="180"/>
      <c r="F817" s="180"/>
      <c r="G817" s="179"/>
      <c r="H817" s="179"/>
      <c r="I817" s="179"/>
      <c r="J817" s="179"/>
    </row>
    <row r="818" spans="1:10" ht="15.75" customHeight="1" x14ac:dyDescent="0.2">
      <c r="A818" s="1"/>
      <c r="B818" s="150"/>
      <c r="C818" s="179"/>
      <c r="D818" s="179"/>
      <c r="E818" s="180"/>
      <c r="F818" s="180"/>
      <c r="G818" s="179"/>
      <c r="H818" s="179"/>
      <c r="I818" s="179"/>
      <c r="J818" s="179"/>
    </row>
    <row r="819" spans="1:10" ht="15.75" customHeight="1" x14ac:dyDescent="0.2">
      <c r="A819" s="1"/>
      <c r="B819" s="150"/>
      <c r="C819" s="179"/>
      <c r="D819" s="179"/>
      <c r="E819" s="180"/>
      <c r="F819" s="180"/>
      <c r="G819" s="179"/>
      <c r="H819" s="179"/>
      <c r="I819" s="179"/>
      <c r="J819" s="179"/>
    </row>
    <row r="820" spans="1:10" ht="15.75" customHeight="1" x14ac:dyDescent="0.2">
      <c r="A820" s="1"/>
      <c r="B820" s="150"/>
      <c r="C820" s="179"/>
      <c r="D820" s="179"/>
      <c r="E820" s="180"/>
      <c r="F820" s="180"/>
      <c r="G820" s="179"/>
      <c r="H820" s="179"/>
      <c r="I820" s="179"/>
      <c r="J820" s="179"/>
    </row>
    <row r="821" spans="1:10" ht="15.75" customHeight="1" x14ac:dyDescent="0.2">
      <c r="A821" s="1"/>
      <c r="B821" s="150"/>
      <c r="C821" s="179"/>
      <c r="D821" s="179"/>
      <c r="E821" s="180"/>
      <c r="F821" s="180"/>
      <c r="G821" s="179"/>
      <c r="H821" s="179"/>
      <c r="I821" s="179"/>
      <c r="J821" s="179"/>
    </row>
    <row r="822" spans="1:10" ht="15.75" customHeight="1" x14ac:dyDescent="0.2">
      <c r="A822" s="1"/>
      <c r="B822" s="150"/>
      <c r="C822" s="179"/>
      <c r="D822" s="179"/>
      <c r="E822" s="180"/>
      <c r="F822" s="180"/>
      <c r="G822" s="179"/>
      <c r="H822" s="179"/>
      <c r="I822" s="179"/>
      <c r="J822" s="179"/>
    </row>
    <row r="823" spans="1:10" ht="15.75" customHeight="1" x14ac:dyDescent="0.2">
      <c r="A823" s="1"/>
      <c r="B823" s="150"/>
      <c r="C823" s="179"/>
      <c r="D823" s="179"/>
      <c r="E823" s="180"/>
      <c r="F823" s="180"/>
      <c r="G823" s="179"/>
      <c r="H823" s="179"/>
      <c r="I823" s="179"/>
      <c r="J823" s="179"/>
    </row>
    <row r="824" spans="1:10" ht="15.75" customHeight="1" x14ac:dyDescent="0.2">
      <c r="A824" s="1"/>
      <c r="B824" s="150"/>
      <c r="C824" s="179"/>
      <c r="D824" s="179"/>
      <c r="E824" s="180"/>
      <c r="F824" s="180"/>
      <c r="G824" s="179"/>
      <c r="H824" s="179"/>
      <c r="I824" s="179"/>
      <c r="J824" s="179"/>
    </row>
    <row r="825" spans="1:10" ht="15.75" customHeight="1" x14ac:dyDescent="0.2">
      <c r="A825" s="1"/>
      <c r="B825" s="150"/>
      <c r="C825" s="179"/>
      <c r="D825" s="179"/>
      <c r="E825" s="180"/>
      <c r="F825" s="180"/>
      <c r="G825" s="179"/>
      <c r="H825" s="179"/>
      <c r="I825" s="179"/>
      <c r="J825" s="179"/>
    </row>
    <row r="826" spans="1:10" ht="15.75" customHeight="1" x14ac:dyDescent="0.2">
      <c r="A826" s="1"/>
      <c r="B826" s="150"/>
      <c r="C826" s="179"/>
      <c r="D826" s="179"/>
      <c r="E826" s="180"/>
      <c r="F826" s="180"/>
      <c r="G826" s="179"/>
      <c r="H826" s="179"/>
      <c r="I826" s="179"/>
      <c r="J826" s="179"/>
    </row>
    <row r="827" spans="1:10" ht="15.75" customHeight="1" x14ac:dyDescent="0.2">
      <c r="A827" s="1"/>
      <c r="B827" s="150"/>
      <c r="C827" s="179"/>
      <c r="D827" s="179"/>
      <c r="E827" s="180"/>
      <c r="F827" s="180"/>
      <c r="G827" s="179"/>
      <c r="H827" s="179"/>
      <c r="I827" s="179"/>
      <c r="J827" s="179"/>
    </row>
    <row r="828" spans="1:10" ht="15.75" customHeight="1" x14ac:dyDescent="0.2">
      <c r="A828" s="1"/>
      <c r="B828" s="150"/>
      <c r="C828" s="179"/>
      <c r="D828" s="179"/>
      <c r="E828" s="180"/>
      <c r="F828" s="180"/>
      <c r="G828" s="179"/>
      <c r="H828" s="179"/>
      <c r="I828" s="179"/>
      <c r="J828" s="179"/>
    </row>
    <row r="829" spans="1:10" ht="15.75" customHeight="1" x14ac:dyDescent="0.2">
      <c r="A829" s="1"/>
      <c r="B829" s="150"/>
      <c r="C829" s="179"/>
      <c r="D829" s="179"/>
      <c r="E829" s="180"/>
      <c r="F829" s="180"/>
      <c r="G829" s="179"/>
      <c r="H829" s="179"/>
      <c r="I829" s="179"/>
      <c r="J829" s="179"/>
    </row>
    <row r="830" spans="1:10" ht="15.75" customHeight="1" x14ac:dyDescent="0.2">
      <c r="A830" s="1"/>
      <c r="B830" s="150"/>
      <c r="C830" s="179"/>
      <c r="D830" s="179"/>
      <c r="E830" s="180"/>
      <c r="F830" s="180"/>
      <c r="G830" s="179"/>
      <c r="H830" s="179"/>
      <c r="I830" s="179"/>
      <c r="J830" s="179"/>
    </row>
    <row r="831" spans="1:10" ht="15.75" customHeight="1" x14ac:dyDescent="0.2">
      <c r="A831" s="1"/>
      <c r="B831" s="150"/>
      <c r="C831" s="179"/>
      <c r="D831" s="179"/>
      <c r="E831" s="180"/>
      <c r="F831" s="180"/>
      <c r="G831" s="179"/>
      <c r="H831" s="179"/>
      <c r="I831" s="179"/>
      <c r="J831" s="179"/>
    </row>
    <row r="832" spans="1:10" ht="15.75" customHeight="1" x14ac:dyDescent="0.2">
      <c r="A832" s="1"/>
      <c r="B832" s="150"/>
      <c r="C832" s="179"/>
      <c r="D832" s="179"/>
      <c r="E832" s="180"/>
      <c r="F832" s="180"/>
      <c r="G832" s="179"/>
      <c r="H832" s="179"/>
      <c r="I832" s="179"/>
      <c r="J832" s="179"/>
    </row>
    <row r="833" spans="1:10" ht="15.75" customHeight="1" x14ac:dyDescent="0.2">
      <c r="A833" s="1"/>
      <c r="B833" s="150"/>
      <c r="C833" s="179"/>
      <c r="D833" s="179"/>
      <c r="E833" s="180"/>
      <c r="F833" s="180"/>
      <c r="G833" s="179"/>
      <c r="H833" s="179"/>
      <c r="I833" s="179"/>
      <c r="J833" s="179"/>
    </row>
    <row r="834" spans="1:10" ht="15.75" customHeight="1" x14ac:dyDescent="0.2">
      <c r="A834" s="1"/>
      <c r="B834" s="150"/>
      <c r="C834" s="179"/>
      <c r="D834" s="179"/>
      <c r="E834" s="180"/>
      <c r="F834" s="180"/>
      <c r="G834" s="179"/>
      <c r="H834" s="179"/>
      <c r="I834" s="179"/>
      <c r="J834" s="179"/>
    </row>
    <row r="835" spans="1:10" ht="15.75" customHeight="1" x14ac:dyDescent="0.2">
      <c r="A835" s="1"/>
      <c r="B835" s="150"/>
      <c r="C835" s="179"/>
      <c r="D835" s="179"/>
      <c r="E835" s="180"/>
      <c r="F835" s="180"/>
      <c r="G835" s="179"/>
      <c r="H835" s="179"/>
      <c r="I835" s="179"/>
      <c r="J835" s="179"/>
    </row>
    <row r="836" spans="1:10" ht="15.75" customHeight="1" x14ac:dyDescent="0.2">
      <c r="A836" s="1"/>
      <c r="B836" s="150"/>
      <c r="C836" s="179"/>
      <c r="D836" s="179"/>
      <c r="E836" s="180"/>
      <c r="F836" s="180"/>
      <c r="G836" s="179"/>
      <c r="H836" s="179"/>
      <c r="I836" s="179"/>
      <c r="J836" s="179"/>
    </row>
    <row r="837" spans="1:10" ht="15.75" customHeight="1" x14ac:dyDescent="0.2">
      <c r="A837" s="1"/>
      <c r="B837" s="150"/>
      <c r="C837" s="179"/>
      <c r="D837" s="179"/>
      <c r="E837" s="180"/>
      <c r="F837" s="180"/>
      <c r="G837" s="179"/>
      <c r="H837" s="179"/>
      <c r="I837" s="179"/>
      <c r="J837" s="179"/>
    </row>
    <row r="838" spans="1:10" ht="15.75" customHeight="1" x14ac:dyDescent="0.2">
      <c r="A838" s="1"/>
      <c r="B838" s="150"/>
      <c r="C838" s="179"/>
      <c r="D838" s="179"/>
      <c r="E838" s="180"/>
      <c r="F838" s="180"/>
      <c r="G838" s="179"/>
      <c r="H838" s="179"/>
      <c r="I838" s="179"/>
      <c r="J838" s="179"/>
    </row>
    <row r="839" spans="1:10" ht="15.75" customHeight="1" x14ac:dyDescent="0.2">
      <c r="A839" s="1"/>
      <c r="B839" s="150"/>
      <c r="C839" s="179"/>
      <c r="D839" s="179"/>
      <c r="E839" s="180"/>
      <c r="F839" s="180"/>
      <c r="G839" s="179"/>
      <c r="H839" s="179"/>
      <c r="I839" s="179"/>
      <c r="J839" s="179"/>
    </row>
    <row r="840" spans="1:10" ht="15.75" customHeight="1" x14ac:dyDescent="0.2">
      <c r="A840" s="1"/>
      <c r="B840" s="150"/>
      <c r="C840" s="179"/>
      <c r="D840" s="179"/>
      <c r="E840" s="180"/>
      <c r="F840" s="180"/>
      <c r="G840" s="179"/>
      <c r="H840" s="179"/>
      <c r="I840" s="179"/>
      <c r="J840" s="179"/>
    </row>
    <row r="841" spans="1:10" ht="15.75" customHeight="1" x14ac:dyDescent="0.2">
      <c r="A841" s="1"/>
      <c r="B841" s="150"/>
      <c r="C841" s="179"/>
      <c r="D841" s="179"/>
      <c r="E841" s="180"/>
      <c r="F841" s="180"/>
      <c r="G841" s="179"/>
      <c r="H841" s="179"/>
      <c r="I841" s="179"/>
      <c r="J841" s="179"/>
    </row>
    <row r="842" spans="1:10" ht="15.75" customHeight="1" x14ac:dyDescent="0.2">
      <c r="A842" s="1"/>
      <c r="B842" s="150"/>
      <c r="C842" s="179"/>
      <c r="D842" s="179"/>
      <c r="E842" s="180"/>
      <c r="F842" s="180"/>
      <c r="G842" s="179"/>
      <c r="H842" s="179"/>
      <c r="I842" s="179"/>
      <c r="J842" s="179"/>
    </row>
    <row r="843" spans="1:10" ht="15.75" customHeight="1" x14ac:dyDescent="0.2">
      <c r="A843" s="1"/>
      <c r="B843" s="150"/>
      <c r="C843" s="179"/>
      <c r="D843" s="179"/>
      <c r="E843" s="180"/>
      <c r="F843" s="180"/>
      <c r="G843" s="179"/>
      <c r="H843" s="179"/>
      <c r="I843" s="179"/>
      <c r="J843" s="179"/>
    </row>
    <row r="844" spans="1:10" ht="15.75" customHeight="1" x14ac:dyDescent="0.2">
      <c r="A844" s="1"/>
      <c r="B844" s="150"/>
      <c r="C844" s="179"/>
      <c r="D844" s="179"/>
      <c r="E844" s="180"/>
      <c r="F844" s="180"/>
      <c r="G844" s="179"/>
      <c r="H844" s="179"/>
      <c r="I844" s="179"/>
      <c r="J844" s="179"/>
    </row>
    <row r="845" spans="1:10" ht="15.75" customHeight="1" x14ac:dyDescent="0.2">
      <c r="A845" s="1"/>
      <c r="B845" s="150"/>
      <c r="C845" s="179"/>
      <c r="D845" s="179"/>
      <c r="E845" s="180"/>
      <c r="F845" s="180"/>
      <c r="G845" s="179"/>
      <c r="H845" s="179"/>
      <c r="I845" s="179"/>
      <c r="J845" s="179"/>
    </row>
    <row r="846" spans="1:10" ht="15.75" customHeight="1" x14ac:dyDescent="0.2">
      <c r="A846" s="1"/>
      <c r="B846" s="150"/>
      <c r="C846" s="179"/>
      <c r="D846" s="179"/>
      <c r="E846" s="180"/>
      <c r="F846" s="180"/>
      <c r="G846" s="179"/>
      <c r="H846" s="179"/>
      <c r="I846" s="179"/>
      <c r="J846" s="179"/>
    </row>
    <row r="847" spans="1:10" ht="15.75" customHeight="1" x14ac:dyDescent="0.2">
      <c r="A847" s="1"/>
      <c r="B847" s="150"/>
      <c r="C847" s="179"/>
      <c r="D847" s="179"/>
      <c r="E847" s="180"/>
      <c r="F847" s="180"/>
      <c r="G847" s="179"/>
      <c r="H847" s="179"/>
      <c r="I847" s="179"/>
      <c r="J847" s="179"/>
    </row>
    <row r="848" spans="1:10" ht="15.75" customHeight="1" x14ac:dyDescent="0.2">
      <c r="A848" s="1"/>
      <c r="B848" s="150"/>
      <c r="C848" s="179"/>
      <c r="D848" s="179"/>
      <c r="E848" s="180"/>
      <c r="F848" s="180"/>
      <c r="G848" s="179"/>
      <c r="H848" s="179"/>
      <c r="I848" s="179"/>
      <c r="J848" s="179"/>
    </row>
    <row r="849" spans="1:10" ht="15.75" customHeight="1" x14ac:dyDescent="0.2">
      <c r="A849" s="1"/>
      <c r="B849" s="150"/>
      <c r="C849" s="179"/>
      <c r="D849" s="179"/>
      <c r="E849" s="180"/>
      <c r="F849" s="180"/>
      <c r="G849" s="179"/>
      <c r="H849" s="179"/>
      <c r="I849" s="179"/>
      <c r="J849" s="179"/>
    </row>
    <row r="850" spans="1:10" ht="15.75" customHeight="1" x14ac:dyDescent="0.2">
      <c r="A850" s="1"/>
      <c r="B850" s="150"/>
      <c r="C850" s="179"/>
      <c r="D850" s="179"/>
      <c r="E850" s="180"/>
      <c r="F850" s="180"/>
      <c r="G850" s="179"/>
      <c r="H850" s="179"/>
      <c r="I850" s="179"/>
      <c r="J850" s="179"/>
    </row>
    <row r="851" spans="1:10" ht="15.75" customHeight="1" x14ac:dyDescent="0.2">
      <c r="A851" s="1"/>
      <c r="B851" s="150"/>
      <c r="C851" s="179"/>
      <c r="D851" s="179"/>
      <c r="E851" s="180"/>
      <c r="F851" s="180"/>
      <c r="G851" s="179"/>
      <c r="H851" s="179"/>
      <c r="I851" s="179"/>
      <c r="J851" s="179"/>
    </row>
    <row r="852" spans="1:10" ht="15.75" customHeight="1" x14ac:dyDescent="0.2">
      <c r="A852" s="1"/>
      <c r="B852" s="150"/>
      <c r="C852" s="179"/>
      <c r="D852" s="179"/>
      <c r="E852" s="180"/>
      <c r="F852" s="180"/>
      <c r="G852" s="179"/>
      <c r="H852" s="179"/>
      <c r="I852" s="179"/>
      <c r="J852" s="179"/>
    </row>
    <row r="853" spans="1:10" ht="15.75" customHeight="1" x14ac:dyDescent="0.2">
      <c r="A853" s="1"/>
      <c r="B853" s="150"/>
      <c r="C853" s="179"/>
      <c r="D853" s="179"/>
      <c r="E853" s="180"/>
      <c r="F853" s="180"/>
      <c r="G853" s="179"/>
      <c r="H853" s="179"/>
      <c r="I853" s="179"/>
      <c r="J853" s="179"/>
    </row>
    <row r="854" spans="1:10" ht="15.75" customHeight="1" x14ac:dyDescent="0.2">
      <c r="A854" s="1"/>
      <c r="B854" s="150"/>
      <c r="C854" s="179"/>
      <c r="D854" s="179"/>
      <c r="E854" s="180"/>
      <c r="F854" s="180"/>
      <c r="G854" s="179"/>
      <c r="H854" s="179"/>
      <c r="I854" s="179"/>
      <c r="J854" s="179"/>
    </row>
    <row r="855" spans="1:10" ht="15.75" customHeight="1" x14ac:dyDescent="0.2">
      <c r="A855" s="1"/>
      <c r="B855" s="150"/>
      <c r="C855" s="179"/>
      <c r="D855" s="179"/>
      <c r="E855" s="180"/>
      <c r="F855" s="180"/>
      <c r="G855" s="179"/>
      <c r="H855" s="179"/>
      <c r="I855" s="179"/>
      <c r="J855" s="179"/>
    </row>
    <row r="856" spans="1:10" ht="15.75" customHeight="1" x14ac:dyDescent="0.2">
      <c r="A856" s="1"/>
      <c r="B856" s="150"/>
      <c r="C856" s="179"/>
      <c r="D856" s="179"/>
      <c r="E856" s="180"/>
      <c r="F856" s="180"/>
      <c r="G856" s="179"/>
      <c r="H856" s="179"/>
      <c r="I856" s="179"/>
      <c r="J856" s="179"/>
    </row>
    <row r="857" spans="1:10" ht="15.75" customHeight="1" x14ac:dyDescent="0.2">
      <c r="A857" s="1"/>
      <c r="B857" s="150"/>
      <c r="C857" s="179"/>
      <c r="D857" s="179"/>
      <c r="E857" s="180"/>
      <c r="F857" s="180"/>
      <c r="G857" s="179"/>
      <c r="H857" s="179"/>
      <c r="I857" s="179"/>
      <c r="J857" s="179"/>
    </row>
    <row r="858" spans="1:10" ht="15.75" customHeight="1" x14ac:dyDescent="0.2">
      <c r="A858" s="1"/>
      <c r="B858" s="150"/>
      <c r="C858" s="179"/>
      <c r="D858" s="179"/>
      <c r="E858" s="180"/>
      <c r="F858" s="180"/>
      <c r="G858" s="179"/>
      <c r="H858" s="179"/>
      <c r="I858" s="179"/>
      <c r="J858" s="179"/>
    </row>
    <row r="859" spans="1:10" ht="15.75" customHeight="1" x14ac:dyDescent="0.2">
      <c r="A859" s="1"/>
      <c r="B859" s="150"/>
      <c r="C859" s="179"/>
      <c r="D859" s="179"/>
      <c r="E859" s="180"/>
      <c r="F859" s="180"/>
      <c r="G859" s="179"/>
      <c r="H859" s="179"/>
      <c r="I859" s="179"/>
      <c r="J859" s="179"/>
    </row>
    <row r="860" spans="1:10" ht="15.75" customHeight="1" x14ac:dyDescent="0.2">
      <c r="A860" s="1"/>
      <c r="B860" s="150"/>
      <c r="C860" s="179"/>
      <c r="D860" s="179"/>
      <c r="E860" s="180"/>
      <c r="F860" s="180"/>
      <c r="G860" s="179"/>
      <c r="H860" s="179"/>
      <c r="I860" s="179"/>
      <c r="J860" s="179"/>
    </row>
    <row r="861" spans="1:10" ht="15.75" customHeight="1" x14ac:dyDescent="0.2">
      <c r="A861" s="1"/>
      <c r="B861" s="150"/>
      <c r="C861" s="179"/>
      <c r="D861" s="179"/>
      <c r="E861" s="180"/>
      <c r="F861" s="180"/>
      <c r="G861" s="179"/>
      <c r="H861" s="179"/>
      <c r="I861" s="179"/>
      <c r="J861" s="179"/>
    </row>
    <row r="862" spans="1:10" ht="15.75" customHeight="1" x14ac:dyDescent="0.2">
      <c r="A862" s="1"/>
      <c r="B862" s="150"/>
      <c r="C862" s="179"/>
      <c r="D862" s="179"/>
      <c r="E862" s="180"/>
      <c r="F862" s="180"/>
      <c r="G862" s="179"/>
      <c r="H862" s="179"/>
      <c r="I862" s="179"/>
      <c r="J862" s="179"/>
    </row>
    <row r="863" spans="1:10" ht="15.75" customHeight="1" x14ac:dyDescent="0.2">
      <c r="A863" s="1"/>
      <c r="B863" s="150"/>
      <c r="C863" s="179"/>
      <c r="D863" s="179"/>
      <c r="E863" s="180"/>
      <c r="F863" s="180"/>
      <c r="G863" s="179"/>
      <c r="H863" s="179"/>
      <c r="I863" s="179"/>
      <c r="J863" s="179"/>
    </row>
    <row r="864" spans="1:10" ht="15.75" customHeight="1" x14ac:dyDescent="0.2">
      <c r="A864" s="1"/>
      <c r="B864" s="150"/>
      <c r="C864" s="179"/>
      <c r="D864" s="179"/>
      <c r="E864" s="180"/>
      <c r="F864" s="180"/>
      <c r="G864" s="179"/>
      <c r="H864" s="179"/>
      <c r="I864" s="179"/>
      <c r="J864" s="179"/>
    </row>
    <row r="865" spans="1:10" ht="15.75" customHeight="1" x14ac:dyDescent="0.2">
      <c r="A865" s="1"/>
      <c r="B865" s="150"/>
      <c r="C865" s="179"/>
      <c r="D865" s="179"/>
      <c r="E865" s="180"/>
      <c r="F865" s="180"/>
      <c r="G865" s="179"/>
      <c r="H865" s="179"/>
      <c r="I865" s="179"/>
      <c r="J865" s="179"/>
    </row>
    <row r="866" spans="1:10" ht="15.75" customHeight="1" x14ac:dyDescent="0.2">
      <c r="A866" s="1"/>
      <c r="B866" s="150"/>
      <c r="C866" s="179"/>
      <c r="D866" s="179"/>
      <c r="E866" s="180"/>
      <c r="F866" s="180"/>
      <c r="G866" s="179"/>
      <c r="H866" s="179"/>
      <c r="I866" s="179"/>
      <c r="J866" s="179"/>
    </row>
    <row r="867" spans="1:10" ht="15.75" customHeight="1" x14ac:dyDescent="0.2">
      <c r="A867" s="1"/>
      <c r="B867" s="150"/>
      <c r="C867" s="179"/>
      <c r="D867" s="179"/>
      <c r="E867" s="180"/>
      <c r="F867" s="180"/>
      <c r="G867" s="179"/>
      <c r="H867" s="179"/>
      <c r="I867" s="179"/>
      <c r="J867" s="179"/>
    </row>
    <row r="868" spans="1:10" ht="15.75" customHeight="1" x14ac:dyDescent="0.2">
      <c r="A868" s="1"/>
      <c r="B868" s="150"/>
      <c r="C868" s="179"/>
      <c r="D868" s="179"/>
      <c r="E868" s="180"/>
      <c r="F868" s="180"/>
      <c r="G868" s="179"/>
      <c r="H868" s="179"/>
      <c r="I868" s="179"/>
      <c r="J868" s="179"/>
    </row>
    <row r="869" spans="1:10" ht="15.75" customHeight="1" x14ac:dyDescent="0.2">
      <c r="A869" s="1"/>
      <c r="B869" s="150"/>
      <c r="C869" s="179"/>
      <c r="D869" s="179"/>
      <c r="E869" s="180"/>
      <c r="F869" s="180"/>
      <c r="G869" s="179"/>
      <c r="H869" s="179"/>
      <c r="I869" s="179"/>
      <c r="J869" s="179"/>
    </row>
    <row r="870" spans="1:10" ht="15.75" customHeight="1" x14ac:dyDescent="0.2">
      <c r="A870" s="1"/>
      <c r="B870" s="150"/>
      <c r="C870" s="179"/>
      <c r="D870" s="179"/>
      <c r="E870" s="180"/>
      <c r="F870" s="180"/>
      <c r="G870" s="179"/>
      <c r="H870" s="179"/>
      <c r="I870" s="179"/>
      <c r="J870" s="179"/>
    </row>
    <row r="871" spans="1:10" ht="15.75" customHeight="1" x14ac:dyDescent="0.2">
      <c r="A871" s="1"/>
      <c r="B871" s="150"/>
      <c r="C871" s="179"/>
      <c r="D871" s="179"/>
      <c r="E871" s="180"/>
      <c r="F871" s="180"/>
      <c r="G871" s="179"/>
      <c r="H871" s="179"/>
      <c r="I871" s="179"/>
      <c r="J871" s="179"/>
    </row>
    <row r="872" spans="1:10" ht="15.75" customHeight="1" x14ac:dyDescent="0.2">
      <c r="A872" s="1"/>
      <c r="B872" s="150"/>
      <c r="C872" s="179"/>
      <c r="D872" s="179"/>
      <c r="E872" s="180"/>
      <c r="F872" s="180"/>
      <c r="G872" s="179"/>
      <c r="H872" s="179"/>
      <c r="I872" s="179"/>
      <c r="J872" s="179"/>
    </row>
    <row r="873" spans="1:10" ht="15.75" customHeight="1" x14ac:dyDescent="0.2">
      <c r="A873" s="1"/>
      <c r="B873" s="150"/>
      <c r="C873" s="179"/>
      <c r="D873" s="179"/>
      <c r="E873" s="180"/>
      <c r="F873" s="180"/>
      <c r="G873" s="179"/>
      <c r="H873" s="179"/>
      <c r="I873" s="179"/>
      <c r="J873" s="179"/>
    </row>
    <row r="874" spans="1:10" ht="15.75" customHeight="1" x14ac:dyDescent="0.2">
      <c r="A874" s="1"/>
      <c r="B874" s="150"/>
      <c r="C874" s="179"/>
      <c r="D874" s="179"/>
      <c r="E874" s="180"/>
      <c r="F874" s="180"/>
      <c r="G874" s="179"/>
      <c r="H874" s="179"/>
      <c r="I874" s="179"/>
      <c r="J874" s="179"/>
    </row>
    <row r="875" spans="1:10" ht="15.75" customHeight="1" x14ac:dyDescent="0.2">
      <c r="A875" s="1"/>
      <c r="B875" s="150"/>
      <c r="C875" s="179"/>
      <c r="D875" s="179"/>
      <c r="E875" s="180"/>
      <c r="F875" s="180"/>
      <c r="G875" s="179"/>
      <c r="H875" s="179"/>
      <c r="I875" s="179"/>
      <c r="J875" s="179"/>
    </row>
    <row r="876" spans="1:10" ht="15.75" customHeight="1" x14ac:dyDescent="0.2">
      <c r="A876" s="1"/>
      <c r="B876" s="150"/>
      <c r="C876" s="179"/>
      <c r="D876" s="179"/>
      <c r="E876" s="180"/>
      <c r="F876" s="180"/>
      <c r="G876" s="179"/>
      <c r="H876" s="179"/>
      <c r="I876" s="179"/>
      <c r="J876" s="179"/>
    </row>
    <row r="877" spans="1:10" ht="15.75" customHeight="1" x14ac:dyDescent="0.2">
      <c r="A877" s="1"/>
      <c r="B877" s="150"/>
      <c r="C877" s="179"/>
      <c r="D877" s="179"/>
      <c r="E877" s="180"/>
      <c r="F877" s="180"/>
      <c r="G877" s="179"/>
      <c r="H877" s="179"/>
      <c r="I877" s="179"/>
      <c r="J877" s="179"/>
    </row>
    <row r="878" spans="1:10" ht="15.75" customHeight="1" x14ac:dyDescent="0.2">
      <c r="A878" s="1"/>
      <c r="B878" s="150"/>
      <c r="C878" s="179"/>
      <c r="D878" s="179"/>
      <c r="E878" s="180"/>
      <c r="F878" s="180"/>
      <c r="G878" s="179"/>
      <c r="H878" s="179"/>
      <c r="I878" s="179"/>
      <c r="J878" s="179"/>
    </row>
    <row r="879" spans="1:10" ht="15.75" customHeight="1" x14ac:dyDescent="0.2">
      <c r="A879" s="1"/>
      <c r="B879" s="150"/>
      <c r="C879" s="179"/>
      <c r="D879" s="179"/>
      <c r="E879" s="180"/>
      <c r="F879" s="180"/>
      <c r="G879" s="179"/>
      <c r="H879" s="179"/>
      <c r="I879" s="179"/>
      <c r="J879" s="179"/>
    </row>
    <row r="880" spans="1:10" ht="15.75" customHeight="1" x14ac:dyDescent="0.2">
      <c r="A880" s="1"/>
      <c r="B880" s="150"/>
      <c r="C880" s="179"/>
      <c r="D880" s="179"/>
      <c r="E880" s="180"/>
      <c r="F880" s="180"/>
      <c r="G880" s="179"/>
      <c r="H880" s="179"/>
      <c r="I880" s="179"/>
      <c r="J880" s="179"/>
    </row>
    <row r="881" spans="1:10" ht="15.75" customHeight="1" x14ac:dyDescent="0.2">
      <c r="A881" s="1"/>
      <c r="B881" s="150"/>
      <c r="C881" s="179"/>
      <c r="D881" s="179"/>
      <c r="E881" s="180"/>
      <c r="F881" s="180"/>
      <c r="G881" s="179"/>
      <c r="H881" s="179"/>
      <c r="I881" s="179"/>
      <c r="J881" s="179"/>
    </row>
    <row r="882" spans="1:10" ht="15.75" customHeight="1" x14ac:dyDescent="0.2">
      <c r="A882" s="1"/>
      <c r="B882" s="150"/>
      <c r="C882" s="179"/>
      <c r="D882" s="179"/>
      <c r="E882" s="180"/>
      <c r="F882" s="180"/>
      <c r="G882" s="179"/>
      <c r="H882" s="179"/>
      <c r="I882" s="179"/>
      <c r="J882" s="179"/>
    </row>
    <row r="883" spans="1:10" ht="15.75" customHeight="1" x14ac:dyDescent="0.2">
      <c r="A883" s="1"/>
      <c r="B883" s="150"/>
      <c r="C883" s="179"/>
      <c r="D883" s="179"/>
      <c r="E883" s="180"/>
      <c r="F883" s="180"/>
      <c r="G883" s="179"/>
      <c r="H883" s="179"/>
      <c r="I883" s="179"/>
      <c r="J883" s="179"/>
    </row>
    <row r="884" spans="1:10" ht="15.75" customHeight="1" x14ac:dyDescent="0.2">
      <c r="A884" s="1"/>
      <c r="B884" s="150"/>
      <c r="C884" s="179"/>
      <c r="D884" s="179"/>
      <c r="E884" s="180"/>
      <c r="F884" s="180"/>
      <c r="G884" s="179"/>
      <c r="H884" s="179"/>
      <c r="I884" s="179"/>
      <c r="J884" s="179"/>
    </row>
    <row r="885" spans="1:10" ht="15.75" customHeight="1" x14ac:dyDescent="0.2">
      <c r="A885" s="1"/>
      <c r="B885" s="150"/>
      <c r="C885" s="179"/>
      <c r="D885" s="179"/>
      <c r="E885" s="180"/>
      <c r="F885" s="180"/>
      <c r="G885" s="179"/>
      <c r="H885" s="179"/>
      <c r="I885" s="179"/>
      <c r="J885" s="179"/>
    </row>
    <row r="886" spans="1:10" ht="15.75" customHeight="1" x14ac:dyDescent="0.2">
      <c r="A886" s="1"/>
      <c r="B886" s="150"/>
      <c r="C886" s="179"/>
      <c r="D886" s="179"/>
      <c r="E886" s="180"/>
      <c r="F886" s="180"/>
      <c r="G886" s="179"/>
      <c r="H886" s="179"/>
      <c r="I886" s="179"/>
      <c r="J886" s="179"/>
    </row>
    <row r="887" spans="1:10" ht="15.75" customHeight="1" x14ac:dyDescent="0.2">
      <c r="A887" s="1"/>
      <c r="B887" s="150"/>
      <c r="C887" s="179"/>
      <c r="D887" s="179"/>
      <c r="E887" s="180"/>
      <c r="F887" s="180"/>
      <c r="G887" s="179"/>
      <c r="H887" s="179"/>
      <c r="I887" s="179"/>
      <c r="J887" s="179"/>
    </row>
    <row r="888" spans="1:10" ht="15.75" customHeight="1" x14ac:dyDescent="0.2">
      <c r="A888" s="1"/>
      <c r="B888" s="150"/>
      <c r="C888" s="179"/>
      <c r="D888" s="179"/>
      <c r="E888" s="180"/>
      <c r="F888" s="180"/>
      <c r="G888" s="179"/>
      <c r="H888" s="179"/>
      <c r="I888" s="179"/>
      <c r="J888" s="179"/>
    </row>
    <row r="889" spans="1:10" ht="15.75" customHeight="1" x14ac:dyDescent="0.2">
      <c r="A889" s="1"/>
      <c r="B889" s="150"/>
      <c r="C889" s="179"/>
      <c r="D889" s="179"/>
      <c r="E889" s="180"/>
      <c r="F889" s="180"/>
      <c r="G889" s="179"/>
      <c r="H889" s="179"/>
      <c r="I889" s="179"/>
      <c r="J889" s="179"/>
    </row>
    <row r="890" spans="1:10" ht="15.75" customHeight="1" x14ac:dyDescent="0.2">
      <c r="A890" s="1"/>
      <c r="B890" s="150"/>
      <c r="C890" s="179"/>
      <c r="D890" s="179"/>
      <c r="E890" s="180"/>
      <c r="F890" s="180"/>
      <c r="G890" s="179"/>
      <c r="H890" s="179"/>
      <c r="I890" s="179"/>
      <c r="J890" s="179"/>
    </row>
    <row r="891" spans="1:10" ht="15.75" customHeight="1" x14ac:dyDescent="0.2">
      <c r="A891" s="1"/>
      <c r="B891" s="150"/>
      <c r="C891" s="179"/>
      <c r="D891" s="179"/>
      <c r="E891" s="180"/>
      <c r="F891" s="180"/>
      <c r="G891" s="179"/>
      <c r="H891" s="179"/>
      <c r="I891" s="179"/>
      <c r="J891" s="179"/>
    </row>
    <row r="892" spans="1:10" ht="15.75" customHeight="1" x14ac:dyDescent="0.2">
      <c r="A892" s="1"/>
      <c r="B892" s="150"/>
      <c r="C892" s="179"/>
      <c r="D892" s="179"/>
      <c r="E892" s="180"/>
      <c r="F892" s="180"/>
      <c r="G892" s="179"/>
      <c r="H892" s="179"/>
      <c r="I892" s="179"/>
      <c r="J892" s="179"/>
    </row>
    <row r="893" spans="1:10" ht="15.75" customHeight="1" x14ac:dyDescent="0.2">
      <c r="A893" s="1"/>
      <c r="B893" s="150"/>
      <c r="C893" s="179"/>
      <c r="D893" s="179"/>
      <c r="E893" s="180"/>
      <c r="F893" s="180"/>
      <c r="G893" s="179"/>
      <c r="H893" s="179"/>
      <c r="I893" s="179"/>
      <c r="J893" s="179"/>
    </row>
    <row r="894" spans="1:10" ht="15.75" customHeight="1" x14ac:dyDescent="0.2">
      <c r="A894" s="1"/>
      <c r="B894" s="150"/>
      <c r="C894" s="179"/>
      <c r="D894" s="179"/>
      <c r="E894" s="180"/>
      <c r="F894" s="180"/>
      <c r="G894" s="179"/>
      <c r="H894" s="179"/>
      <c r="I894" s="179"/>
      <c r="J894" s="179"/>
    </row>
    <row r="895" spans="1:10" ht="15.75" customHeight="1" x14ac:dyDescent="0.2">
      <c r="A895" s="1"/>
      <c r="B895" s="150"/>
      <c r="C895" s="179"/>
      <c r="D895" s="179"/>
      <c r="E895" s="180"/>
      <c r="F895" s="180"/>
      <c r="G895" s="179"/>
      <c r="H895" s="179"/>
      <c r="I895" s="179"/>
      <c r="J895" s="179"/>
    </row>
    <row r="896" spans="1:10" ht="15.75" customHeight="1" x14ac:dyDescent="0.2">
      <c r="A896" s="1"/>
      <c r="B896" s="150"/>
      <c r="C896" s="179"/>
      <c r="D896" s="179"/>
      <c r="E896" s="180"/>
      <c r="F896" s="180"/>
      <c r="G896" s="179"/>
      <c r="H896" s="179"/>
      <c r="I896" s="179"/>
      <c r="J896" s="179"/>
    </row>
    <row r="897" spans="1:10" ht="15.75" customHeight="1" x14ac:dyDescent="0.2">
      <c r="A897" s="1"/>
      <c r="B897" s="150"/>
      <c r="C897" s="179"/>
      <c r="D897" s="179"/>
      <c r="E897" s="180"/>
      <c r="F897" s="180"/>
      <c r="G897" s="179"/>
      <c r="H897" s="179"/>
      <c r="I897" s="179"/>
      <c r="J897" s="179"/>
    </row>
    <row r="898" spans="1:10" ht="15.75" customHeight="1" x14ac:dyDescent="0.2">
      <c r="A898" s="1"/>
      <c r="B898" s="150"/>
      <c r="C898" s="179"/>
      <c r="D898" s="179"/>
      <c r="E898" s="180"/>
      <c r="F898" s="180"/>
      <c r="G898" s="179"/>
      <c r="H898" s="179"/>
      <c r="I898" s="179"/>
      <c r="J898" s="179"/>
    </row>
    <row r="899" spans="1:10" ht="15.75" customHeight="1" x14ac:dyDescent="0.2">
      <c r="A899" s="1"/>
      <c r="B899" s="150"/>
      <c r="C899" s="179"/>
      <c r="D899" s="179"/>
      <c r="E899" s="180"/>
      <c r="F899" s="180"/>
      <c r="G899" s="179"/>
      <c r="H899" s="179"/>
      <c r="I899" s="179"/>
      <c r="J899" s="179"/>
    </row>
    <row r="900" spans="1:10" ht="15.75" customHeight="1" x14ac:dyDescent="0.2">
      <c r="A900" s="1"/>
      <c r="B900" s="150"/>
      <c r="C900" s="179"/>
      <c r="D900" s="179"/>
      <c r="E900" s="180"/>
      <c r="F900" s="180"/>
      <c r="G900" s="179"/>
      <c r="H900" s="179"/>
      <c r="I900" s="179"/>
      <c r="J900" s="179"/>
    </row>
    <row r="901" spans="1:10" ht="15.75" customHeight="1" x14ac:dyDescent="0.2">
      <c r="A901" s="1"/>
      <c r="B901" s="150"/>
      <c r="C901" s="179"/>
      <c r="D901" s="179"/>
      <c r="E901" s="180"/>
      <c r="F901" s="180"/>
      <c r="G901" s="179"/>
      <c r="H901" s="179"/>
      <c r="I901" s="179"/>
      <c r="J901" s="179"/>
    </row>
    <row r="902" spans="1:10" ht="15.75" customHeight="1" x14ac:dyDescent="0.2">
      <c r="A902" s="1"/>
      <c r="B902" s="150"/>
      <c r="C902" s="179"/>
      <c r="D902" s="179"/>
      <c r="E902" s="180"/>
      <c r="F902" s="180"/>
      <c r="G902" s="179"/>
      <c r="H902" s="179"/>
      <c r="I902" s="179"/>
      <c r="J902" s="179"/>
    </row>
    <row r="903" spans="1:10" ht="15.75" customHeight="1" x14ac:dyDescent="0.2">
      <c r="A903" s="1"/>
      <c r="B903" s="150"/>
      <c r="C903" s="179"/>
      <c r="D903" s="179"/>
      <c r="E903" s="180"/>
      <c r="F903" s="180"/>
      <c r="G903" s="179"/>
      <c r="H903" s="179"/>
      <c r="I903" s="179"/>
      <c r="J903" s="179"/>
    </row>
    <row r="904" spans="1:10" ht="15.75" customHeight="1" x14ac:dyDescent="0.2">
      <c r="A904" s="1"/>
      <c r="B904" s="150"/>
      <c r="C904" s="179"/>
      <c r="D904" s="179"/>
      <c r="E904" s="180"/>
      <c r="F904" s="180"/>
      <c r="G904" s="179"/>
      <c r="H904" s="179"/>
      <c r="I904" s="179"/>
      <c r="J904" s="179"/>
    </row>
    <row r="905" spans="1:10" ht="15.75" customHeight="1" x14ac:dyDescent="0.2">
      <c r="A905" s="1"/>
      <c r="B905" s="150"/>
      <c r="C905" s="179"/>
      <c r="D905" s="179"/>
      <c r="E905" s="180"/>
      <c r="F905" s="180"/>
      <c r="G905" s="179"/>
      <c r="H905" s="179"/>
      <c r="I905" s="179"/>
      <c r="J905" s="179"/>
    </row>
    <row r="906" spans="1:10" ht="15.75" customHeight="1" x14ac:dyDescent="0.2">
      <c r="A906" s="1"/>
      <c r="B906" s="150"/>
      <c r="C906" s="179"/>
      <c r="D906" s="179"/>
      <c r="E906" s="180"/>
      <c r="F906" s="180"/>
      <c r="G906" s="179"/>
      <c r="H906" s="179"/>
      <c r="I906" s="179"/>
      <c r="J906" s="179"/>
    </row>
    <row r="907" spans="1:10" ht="15.75" customHeight="1" x14ac:dyDescent="0.2">
      <c r="A907" s="1"/>
      <c r="B907" s="150"/>
      <c r="C907" s="179"/>
      <c r="D907" s="179"/>
      <c r="E907" s="180"/>
      <c r="F907" s="180"/>
      <c r="G907" s="179"/>
      <c r="H907" s="179"/>
      <c r="I907" s="179"/>
      <c r="J907" s="179"/>
    </row>
    <row r="908" spans="1:10" ht="15.75" customHeight="1" x14ac:dyDescent="0.2">
      <c r="A908" s="1"/>
      <c r="B908" s="150"/>
      <c r="C908" s="179"/>
      <c r="D908" s="179"/>
      <c r="E908" s="180"/>
      <c r="F908" s="180"/>
      <c r="G908" s="179"/>
      <c r="H908" s="179"/>
      <c r="I908" s="179"/>
      <c r="J908" s="179"/>
    </row>
    <row r="909" spans="1:10" ht="15.75" customHeight="1" x14ac:dyDescent="0.2">
      <c r="A909" s="1"/>
      <c r="B909" s="150"/>
      <c r="C909" s="179"/>
      <c r="D909" s="179"/>
      <c r="E909" s="180"/>
      <c r="F909" s="180"/>
      <c r="G909" s="179"/>
      <c r="H909" s="179"/>
      <c r="I909" s="179"/>
      <c r="J909" s="179"/>
    </row>
    <row r="910" spans="1:10" ht="15.75" customHeight="1" x14ac:dyDescent="0.2">
      <c r="A910" s="1"/>
      <c r="B910" s="150"/>
      <c r="C910" s="179"/>
      <c r="D910" s="179"/>
      <c r="E910" s="180"/>
      <c r="F910" s="180"/>
      <c r="G910" s="179"/>
      <c r="H910" s="179"/>
      <c r="I910" s="179"/>
      <c r="J910" s="179"/>
    </row>
    <row r="911" spans="1:10" ht="15.75" customHeight="1" x14ac:dyDescent="0.2">
      <c r="A911" s="1"/>
      <c r="B911" s="150"/>
      <c r="C911" s="179"/>
      <c r="D911" s="179"/>
      <c r="E911" s="180"/>
      <c r="F911" s="180"/>
      <c r="G911" s="179"/>
      <c r="H911" s="179"/>
      <c r="I911" s="179"/>
      <c r="J911" s="179"/>
    </row>
    <row r="912" spans="1:10" ht="15.75" customHeight="1" x14ac:dyDescent="0.2">
      <c r="A912" s="1"/>
      <c r="B912" s="150"/>
      <c r="C912" s="179"/>
      <c r="D912" s="179"/>
      <c r="E912" s="180"/>
      <c r="F912" s="180"/>
      <c r="G912" s="179"/>
      <c r="H912" s="179"/>
      <c r="I912" s="179"/>
      <c r="J912" s="179"/>
    </row>
    <row r="913" spans="1:10" ht="15.75" customHeight="1" x14ac:dyDescent="0.2">
      <c r="A913" s="1"/>
      <c r="B913" s="150"/>
      <c r="C913" s="179"/>
      <c r="D913" s="179"/>
      <c r="E913" s="180"/>
      <c r="F913" s="180"/>
      <c r="G913" s="179"/>
      <c r="H913" s="179"/>
      <c r="I913" s="179"/>
      <c r="J913" s="179"/>
    </row>
    <row r="914" spans="1:10" ht="15.75" customHeight="1" x14ac:dyDescent="0.2">
      <c r="A914" s="1"/>
      <c r="B914" s="150"/>
      <c r="C914" s="179"/>
      <c r="D914" s="179"/>
      <c r="E914" s="180"/>
      <c r="F914" s="180"/>
      <c r="G914" s="179"/>
      <c r="H914" s="179"/>
      <c r="I914" s="179"/>
      <c r="J914" s="179"/>
    </row>
    <row r="915" spans="1:10" ht="15.75" customHeight="1" x14ac:dyDescent="0.2">
      <c r="A915" s="1"/>
      <c r="B915" s="150"/>
      <c r="C915" s="179"/>
      <c r="D915" s="179"/>
      <c r="E915" s="180"/>
      <c r="F915" s="180"/>
      <c r="G915" s="179"/>
      <c r="H915" s="179"/>
      <c r="I915" s="179"/>
      <c r="J915" s="179"/>
    </row>
    <row r="916" spans="1:10" ht="15.75" customHeight="1" x14ac:dyDescent="0.2">
      <c r="A916" s="1"/>
      <c r="B916" s="150"/>
      <c r="C916" s="179"/>
      <c r="D916" s="179"/>
      <c r="E916" s="180"/>
      <c r="F916" s="180"/>
      <c r="G916" s="179"/>
      <c r="H916" s="179"/>
      <c r="I916" s="179"/>
      <c r="J916" s="179"/>
    </row>
    <row r="917" spans="1:10" ht="15.75" customHeight="1" x14ac:dyDescent="0.2">
      <c r="A917" s="1"/>
      <c r="B917" s="150"/>
      <c r="C917" s="179"/>
      <c r="D917" s="179"/>
      <c r="E917" s="180"/>
      <c r="F917" s="180"/>
      <c r="G917" s="179"/>
      <c r="H917" s="179"/>
      <c r="I917" s="179"/>
      <c r="J917" s="179"/>
    </row>
    <row r="918" spans="1:10" ht="15.75" customHeight="1" x14ac:dyDescent="0.2">
      <c r="A918" s="1"/>
      <c r="B918" s="150"/>
      <c r="C918" s="179"/>
      <c r="D918" s="179"/>
      <c r="E918" s="180"/>
      <c r="F918" s="180"/>
      <c r="G918" s="179"/>
      <c r="H918" s="179"/>
      <c r="I918" s="179"/>
      <c r="J918" s="179"/>
    </row>
    <row r="919" spans="1:10" ht="15.75" customHeight="1" x14ac:dyDescent="0.2">
      <c r="A919" s="1"/>
      <c r="B919" s="150"/>
      <c r="C919" s="179"/>
      <c r="D919" s="179"/>
      <c r="E919" s="180"/>
      <c r="F919" s="180"/>
      <c r="G919" s="179"/>
      <c r="H919" s="179"/>
      <c r="I919" s="179"/>
      <c r="J919" s="179"/>
    </row>
    <row r="920" spans="1:10" ht="15.75" customHeight="1" x14ac:dyDescent="0.2">
      <c r="A920" s="1"/>
      <c r="B920" s="150"/>
      <c r="C920" s="179"/>
      <c r="D920" s="179"/>
      <c r="E920" s="180"/>
      <c r="F920" s="180"/>
      <c r="G920" s="179"/>
      <c r="H920" s="179"/>
      <c r="I920" s="179"/>
      <c r="J920" s="179"/>
    </row>
    <row r="921" spans="1:10" ht="15.75" customHeight="1" x14ac:dyDescent="0.2">
      <c r="A921" s="1"/>
      <c r="B921" s="150"/>
      <c r="C921" s="179"/>
      <c r="D921" s="179"/>
      <c r="E921" s="180"/>
      <c r="F921" s="180"/>
      <c r="G921" s="179"/>
      <c r="H921" s="179"/>
      <c r="I921" s="179"/>
      <c r="J921" s="179"/>
    </row>
    <row r="922" spans="1:10" ht="15.75" customHeight="1" x14ac:dyDescent="0.2">
      <c r="A922" s="1"/>
      <c r="B922" s="150"/>
      <c r="C922" s="179"/>
      <c r="D922" s="179"/>
      <c r="E922" s="180"/>
      <c r="F922" s="180"/>
      <c r="G922" s="179"/>
      <c r="H922" s="179"/>
      <c r="I922" s="179"/>
      <c r="J922" s="179"/>
    </row>
  </sheetData>
  <mergeCells count="4">
    <mergeCell ref="B2:J2"/>
    <mergeCell ref="B3:J3"/>
    <mergeCell ref="B4:J4"/>
    <mergeCell ref="C6:I22"/>
  </mergeCells>
  <pageMargins left="0.98425196850393704" right="0.31496062992125984" top="0.74803149606299213" bottom="0.94488188976377963" header="0" footer="0"/>
  <pageSetup paperSize="9" scale="62" fitToHeight="0" orientation="portrait" r:id="rId1"/>
  <headerFooter>
    <oddFooter>&amp;CPágina &amp;P&amp;R&amp;A</oddFooter>
  </headerFooter>
  <ignoredErrors>
    <ignoredError sqref="B28:B42 B44:B47 B49:B51 B53:B56 B58:B61 B117 B80:B81 B83:B86 B128:B129 B153:B156 B158:B159 B163:B165 B176:B178 B215:B218 B180:B193 B195:B197 B167:B168 B170 B199 B211 B302:B360 B222:B223 B226:B227 B271:B273 B288:B297 B282:B284 B286 B64:B70 B72:B78 B89:B115 B139:B143 B229:B248 B173 B275:B280 B258:B269 B120:B125 B131 B147:B151 B145" unlockedFormula="1"/>
    <ignoredError sqref="B2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6.83203125" defaultRowHeight="15" customHeight="1" x14ac:dyDescent="0.2"/>
  <cols>
    <col min="1" max="1" width="1.6640625" customWidth="1"/>
    <col min="2" max="2" width="14.6640625" customWidth="1"/>
    <col min="3" max="3" width="6.33203125" customWidth="1"/>
    <col min="4" max="4" width="1.6640625" customWidth="1"/>
    <col min="5" max="8" width="7.6640625" customWidth="1"/>
    <col min="9" max="9" width="1.6640625" customWidth="1"/>
    <col min="10" max="10" width="8.1640625" customWidth="1"/>
    <col min="11" max="11" width="10.83203125" customWidth="1"/>
    <col min="12" max="12" width="13.1640625" customWidth="1"/>
    <col min="13" max="13" width="16.1640625" customWidth="1"/>
    <col min="14" max="19" width="8.1640625" customWidth="1"/>
    <col min="20" max="20" width="2.83203125" customWidth="1"/>
    <col min="21" max="21" width="12" customWidth="1"/>
    <col min="22" max="26" width="10.83203125" customWidth="1"/>
  </cols>
  <sheetData>
    <row r="1" spans="1:26" ht="12.7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5"/>
      <c r="B2" s="437" t="s">
        <v>46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9"/>
      <c r="T2" s="5"/>
      <c r="U2" s="5"/>
      <c r="V2" s="5"/>
      <c r="W2" s="5"/>
      <c r="X2" s="5"/>
      <c r="Y2" s="5"/>
      <c r="Z2" s="5"/>
    </row>
    <row r="3" spans="1:26" ht="15" customHeight="1" x14ac:dyDescent="0.25">
      <c r="A3" s="5"/>
      <c r="B3" s="6"/>
      <c r="C3" s="6"/>
      <c r="D3" s="2"/>
      <c r="E3" s="2"/>
      <c r="F3" s="2"/>
      <c r="G3" s="2"/>
      <c r="H3" s="2"/>
      <c r="I3" s="2"/>
      <c r="J3" s="2"/>
      <c r="K3" s="7"/>
      <c r="L3" s="2"/>
      <c r="M3" s="2"/>
      <c r="N3" s="2"/>
      <c r="O3" s="8"/>
      <c r="P3" s="9"/>
      <c r="Q3" s="10"/>
      <c r="R3" s="5"/>
      <c r="S3" s="11"/>
      <c r="T3" s="5"/>
      <c r="U3" s="5"/>
      <c r="V3" s="5"/>
      <c r="W3" s="5"/>
      <c r="X3" s="5"/>
      <c r="Y3" s="5"/>
      <c r="Z3" s="5"/>
    </row>
    <row r="4" spans="1:26" ht="45" customHeight="1" x14ac:dyDescent="0.2">
      <c r="A4" s="5"/>
      <c r="B4" s="440" t="str">
        <f>+'UBS AH'!B3:J3</f>
        <v>"CREACION DEL SERVICIO DE AGUA POTABLE RURAL Y CREACION DEL SERVICIO DE ALCANTARILLADO U OTRAS FORMAS DE DISPOSICION SANITARIA DE EXCRETAS EN EL SECTOR NUEVA ESPERANZA DE LA CC.NN. BAJO PITUCUNA DISTRITO DE RIO NEGRO, PROVINCIA DE SATIPO, DEPARTAMENTO DE JUNIN"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5"/>
      <c r="U4" s="5"/>
      <c r="V4" s="5"/>
      <c r="W4" s="5"/>
      <c r="X4" s="5"/>
      <c r="Y4" s="5"/>
      <c r="Z4" s="5"/>
    </row>
    <row r="5" spans="1:26" ht="15" customHeight="1" x14ac:dyDescent="0.25">
      <c r="A5" s="5"/>
      <c r="B5" s="12"/>
      <c r="C5" s="12"/>
      <c r="D5" s="2"/>
      <c r="E5" s="2"/>
      <c r="F5" s="2"/>
      <c r="G5" s="2"/>
      <c r="H5" s="2"/>
      <c r="I5" s="2"/>
      <c r="J5" s="2"/>
      <c r="K5" s="13"/>
      <c r="L5" s="13"/>
      <c r="M5" s="13"/>
      <c r="N5" s="13"/>
      <c r="O5" s="13"/>
      <c r="P5" s="13"/>
      <c r="Q5" s="14"/>
      <c r="R5" s="5"/>
      <c r="S5" s="11"/>
      <c r="T5" s="5"/>
      <c r="U5" s="5"/>
      <c r="V5" s="5"/>
      <c r="W5" s="5"/>
      <c r="X5" s="5"/>
      <c r="Y5" s="5"/>
      <c r="Z5" s="5"/>
    </row>
    <row r="6" spans="1:26" ht="15" customHeight="1" x14ac:dyDescent="0.2">
      <c r="A6" s="4"/>
      <c r="B6" s="442" t="str">
        <f>+"METRADO DE ACERO DE "&amp;'UBS AH'!B4:J4</f>
        <v>METRADO DE ACERO DE UBS - AH PARA I.E. PRIMARIA</v>
      </c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4"/>
      <c r="T6" s="4"/>
      <c r="U6" s="15"/>
      <c r="V6" s="4"/>
      <c r="W6" s="4"/>
      <c r="X6" s="4"/>
      <c r="Y6" s="4"/>
      <c r="Z6" s="4"/>
    </row>
    <row r="7" spans="1:26" ht="15" customHeight="1" x14ac:dyDescent="0.2">
      <c r="A7" s="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4"/>
      <c r="U7" s="15"/>
      <c r="V7" s="4"/>
      <c r="W7" s="4"/>
      <c r="X7" s="4"/>
      <c r="Y7" s="4"/>
      <c r="Z7" s="4"/>
    </row>
    <row r="8" spans="1:26" ht="15" customHeight="1" x14ac:dyDescent="0.25">
      <c r="A8" s="4"/>
      <c r="B8" s="16" t="str">
        <f>+'UBS AH'!B107</f>
        <v>02.03.01.01.04.05</v>
      </c>
      <c r="C8" s="16"/>
      <c r="D8" s="17" t="str">
        <f>+'UBS AH'!C107</f>
        <v>ACERO CORRUGADO f'y=4200 kg/cm2 G-60 EN CASETA DE UBS</v>
      </c>
      <c r="E8" s="18"/>
      <c r="F8" s="18"/>
      <c r="G8" s="18"/>
      <c r="H8" s="18" t="s">
        <v>47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">
      <c r="A10" s="4"/>
      <c r="B10" s="445" t="s">
        <v>2</v>
      </c>
      <c r="C10" s="446"/>
      <c r="D10" s="449" t="s">
        <v>48</v>
      </c>
      <c r="E10" s="450"/>
      <c r="F10" s="450"/>
      <c r="G10" s="450"/>
      <c r="H10" s="450"/>
      <c r="I10" s="451"/>
      <c r="J10" s="455" t="s">
        <v>49</v>
      </c>
      <c r="K10" s="455" t="s">
        <v>10</v>
      </c>
      <c r="L10" s="455" t="s">
        <v>50</v>
      </c>
      <c r="M10" s="455" t="s">
        <v>51</v>
      </c>
      <c r="N10" s="458" t="s">
        <v>52</v>
      </c>
      <c r="O10" s="459"/>
      <c r="P10" s="459"/>
      <c r="Q10" s="459"/>
      <c r="R10" s="459"/>
      <c r="S10" s="460"/>
      <c r="T10" s="4"/>
      <c r="U10" s="4"/>
      <c r="V10" s="4"/>
      <c r="W10" s="4"/>
      <c r="X10" s="4"/>
      <c r="Y10" s="4"/>
      <c r="Z10" s="4"/>
    </row>
    <row r="11" spans="1:26" ht="15" customHeight="1" x14ac:dyDescent="0.2">
      <c r="A11" s="4"/>
      <c r="B11" s="447"/>
      <c r="C11" s="448"/>
      <c r="D11" s="452"/>
      <c r="E11" s="453"/>
      <c r="F11" s="453"/>
      <c r="G11" s="453"/>
      <c r="H11" s="453"/>
      <c r="I11" s="454"/>
      <c r="J11" s="456"/>
      <c r="K11" s="457"/>
      <c r="L11" s="457"/>
      <c r="M11" s="457"/>
      <c r="N11" s="19" t="s">
        <v>53</v>
      </c>
      <c r="O11" s="19" t="s">
        <v>54</v>
      </c>
      <c r="P11" s="19" t="s">
        <v>55</v>
      </c>
      <c r="Q11" s="19" t="s">
        <v>56</v>
      </c>
      <c r="R11" s="19" t="s">
        <v>57</v>
      </c>
      <c r="S11" s="19" t="s">
        <v>58</v>
      </c>
      <c r="T11" s="4"/>
      <c r="U11" s="4"/>
      <c r="V11" s="4"/>
      <c r="W11" s="4"/>
      <c r="X11" s="4"/>
      <c r="Y11" s="4"/>
      <c r="Z11" s="4"/>
    </row>
    <row r="12" spans="1:26" ht="15" customHeight="1" x14ac:dyDescent="0.2">
      <c r="A12" s="4"/>
      <c r="B12" s="463" t="s">
        <v>17</v>
      </c>
      <c r="C12" s="463" t="s">
        <v>59</v>
      </c>
      <c r="D12" s="20"/>
      <c r="E12" s="21"/>
      <c r="F12" s="21"/>
      <c r="G12" s="21"/>
      <c r="H12" s="21"/>
      <c r="I12" s="21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4"/>
      <c r="U12" s="4"/>
      <c r="V12" s="4"/>
      <c r="W12" s="4"/>
      <c r="X12" s="4"/>
      <c r="Y12" s="4"/>
      <c r="Z12" s="4"/>
    </row>
    <row r="13" spans="1:26" ht="15" customHeight="1" x14ac:dyDescent="0.2">
      <c r="A13" s="4"/>
      <c r="B13" s="436"/>
      <c r="C13" s="436"/>
      <c r="D13" s="24"/>
      <c r="E13" s="25"/>
      <c r="F13" s="26"/>
      <c r="G13" s="26"/>
      <c r="H13" s="26"/>
      <c r="I13" s="26"/>
      <c r="J13" s="27" t="s">
        <v>60</v>
      </c>
      <c r="K13" s="28">
        <v>4</v>
      </c>
      <c r="L13" s="28">
        <v>3</v>
      </c>
      <c r="M13" s="27">
        <f>+F14</f>
        <v>0.28000000000000003</v>
      </c>
      <c r="N13" s="27">
        <f t="shared" ref="N13:S13" si="0">IF(+$J13=N$11,+$K13*$L13*$M13,0)</f>
        <v>0</v>
      </c>
      <c r="O13" s="27">
        <f t="shared" si="0"/>
        <v>3.3600000000000003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4"/>
      <c r="U13" s="4"/>
      <c r="V13" s="4"/>
      <c r="W13" s="4"/>
      <c r="X13" s="4"/>
      <c r="Y13" s="4"/>
      <c r="Z13" s="4"/>
    </row>
    <row r="14" spans="1:26" ht="15" customHeight="1" x14ac:dyDescent="0.2">
      <c r="A14" s="4"/>
      <c r="B14" s="436"/>
      <c r="C14" s="436"/>
      <c r="D14" s="24"/>
      <c r="E14" s="26"/>
      <c r="F14" s="26">
        <v>0.28000000000000003</v>
      </c>
      <c r="G14" s="26"/>
      <c r="H14" s="26"/>
      <c r="I14" s="26"/>
      <c r="J14" s="22"/>
      <c r="K14" s="28"/>
      <c r="L14" s="28"/>
      <c r="M14" s="27"/>
      <c r="N14" s="27"/>
      <c r="O14" s="27"/>
      <c r="P14" s="27"/>
      <c r="Q14" s="27"/>
      <c r="R14" s="27"/>
      <c r="S14" s="27"/>
      <c r="T14" s="4"/>
      <c r="U14" s="4"/>
      <c r="V14" s="4"/>
      <c r="W14" s="4"/>
      <c r="X14" s="4"/>
      <c r="Y14" s="4"/>
      <c r="Z14" s="4"/>
    </row>
    <row r="15" spans="1:26" ht="15" customHeight="1" x14ac:dyDescent="0.2">
      <c r="A15" s="4"/>
      <c r="B15" s="436"/>
      <c r="C15" s="436"/>
      <c r="D15" s="24"/>
      <c r="E15" s="26"/>
      <c r="F15" s="26"/>
      <c r="G15" s="26"/>
      <c r="H15" s="26"/>
      <c r="I15" s="26"/>
      <c r="J15" s="22"/>
      <c r="K15" s="28"/>
      <c r="L15" s="28"/>
      <c r="M15" s="27"/>
      <c r="N15" s="27"/>
      <c r="O15" s="27"/>
      <c r="P15" s="27"/>
      <c r="Q15" s="27"/>
      <c r="R15" s="27"/>
      <c r="S15" s="27"/>
      <c r="T15" s="4"/>
      <c r="U15" s="4"/>
      <c r="V15" s="4"/>
      <c r="W15" s="4"/>
      <c r="X15" s="4"/>
      <c r="Y15" s="4"/>
      <c r="Z15" s="4"/>
    </row>
    <row r="16" spans="1:26" ht="15" customHeight="1" x14ac:dyDescent="0.2">
      <c r="A16" s="4"/>
      <c r="B16" s="436"/>
      <c r="C16" s="435" t="s">
        <v>61</v>
      </c>
      <c r="D16" s="29"/>
      <c r="E16" s="30"/>
      <c r="F16" s="30"/>
      <c r="G16" s="30"/>
      <c r="H16" s="30"/>
      <c r="I16" s="3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"/>
      <c r="U16" s="4"/>
      <c r="V16" s="4"/>
      <c r="W16" s="4"/>
      <c r="X16" s="4"/>
      <c r="Y16" s="4"/>
      <c r="Z16" s="4"/>
    </row>
    <row r="17" spans="1:26" ht="15" customHeight="1" x14ac:dyDescent="0.2">
      <c r="A17" s="4"/>
      <c r="B17" s="436"/>
      <c r="C17" s="436"/>
      <c r="D17" s="24"/>
      <c r="E17" s="25"/>
      <c r="F17" s="26"/>
      <c r="G17" s="26"/>
      <c r="H17" s="26"/>
      <c r="I17" s="26"/>
      <c r="J17" s="27" t="s">
        <v>60</v>
      </c>
      <c r="K17" s="28">
        <f>+K13</f>
        <v>4</v>
      </c>
      <c r="L17" s="28">
        <v>11</v>
      </c>
      <c r="M17" s="27">
        <f>+F18</f>
        <v>0.28000000000000003</v>
      </c>
      <c r="N17" s="27">
        <f t="shared" ref="N17:O17" si="1">IF(+$J17=N$11,+$K17*$L17*$M17,0)</f>
        <v>0</v>
      </c>
      <c r="O17" s="27">
        <f t="shared" si="1"/>
        <v>12.32</v>
      </c>
      <c r="P17" s="27"/>
      <c r="Q17" s="27"/>
      <c r="R17" s="27"/>
      <c r="S17" s="27"/>
      <c r="T17" s="4"/>
      <c r="U17" s="4"/>
      <c r="V17" s="4"/>
      <c r="W17" s="4"/>
      <c r="X17" s="4"/>
      <c r="Y17" s="4"/>
      <c r="Z17" s="4"/>
    </row>
    <row r="18" spans="1:26" ht="15" customHeight="1" x14ac:dyDescent="0.2">
      <c r="A18" s="4"/>
      <c r="B18" s="436"/>
      <c r="C18" s="436"/>
      <c r="D18" s="24"/>
      <c r="E18" s="26"/>
      <c r="F18" s="26">
        <v>0.28000000000000003</v>
      </c>
      <c r="G18" s="26"/>
      <c r="H18" s="26"/>
      <c r="I18" s="26"/>
      <c r="J18" s="22"/>
      <c r="K18" s="28"/>
      <c r="L18" s="28"/>
      <c r="M18" s="27"/>
      <c r="N18" s="27"/>
      <c r="O18" s="27"/>
      <c r="P18" s="27">
        <f t="shared" ref="P18:S18" si="2">IF(+$J17=P$11,+$K17*$L17*$M17,0)</f>
        <v>0</v>
      </c>
      <c r="Q18" s="27">
        <f t="shared" si="2"/>
        <v>0</v>
      </c>
      <c r="R18" s="27">
        <f t="shared" si="2"/>
        <v>0</v>
      </c>
      <c r="S18" s="27">
        <f t="shared" si="2"/>
        <v>0</v>
      </c>
      <c r="T18" s="4"/>
      <c r="U18" s="4"/>
      <c r="V18" s="4"/>
      <c r="W18" s="4"/>
      <c r="X18" s="4"/>
      <c r="Y18" s="4"/>
      <c r="Z18" s="4"/>
    </row>
    <row r="19" spans="1:26" ht="15" customHeight="1" x14ac:dyDescent="0.2">
      <c r="A19" s="4"/>
      <c r="B19" s="436"/>
      <c r="C19" s="461"/>
      <c r="D19" s="32"/>
      <c r="E19" s="33"/>
      <c r="F19" s="33"/>
      <c r="G19" s="33"/>
      <c r="H19" s="33"/>
      <c r="I19" s="33"/>
      <c r="J19" s="34"/>
      <c r="K19" s="35"/>
      <c r="L19" s="35"/>
      <c r="M19" s="36"/>
      <c r="N19" s="36"/>
      <c r="O19" s="36"/>
      <c r="P19" s="36"/>
      <c r="Q19" s="36"/>
      <c r="R19" s="36"/>
      <c r="S19" s="36"/>
      <c r="T19" s="4"/>
      <c r="U19" s="4"/>
      <c r="V19" s="4"/>
      <c r="W19" s="4"/>
      <c r="X19" s="4"/>
      <c r="Y19" s="4"/>
      <c r="Z19" s="4"/>
    </row>
    <row r="20" spans="1:26" ht="15" customHeight="1" x14ac:dyDescent="0.2">
      <c r="A20" s="4"/>
      <c r="B20" s="436"/>
      <c r="C20" s="462" t="s">
        <v>62</v>
      </c>
      <c r="D20" s="29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"/>
      <c r="U20" s="4"/>
      <c r="V20" s="4"/>
      <c r="W20" s="4"/>
      <c r="X20" s="4"/>
      <c r="Y20" s="4"/>
      <c r="Z20" s="4"/>
    </row>
    <row r="21" spans="1:26" ht="15" customHeight="1" x14ac:dyDescent="0.2">
      <c r="A21" s="4"/>
      <c r="B21" s="436"/>
      <c r="C21" s="436"/>
      <c r="D21" s="24"/>
      <c r="E21" s="26"/>
      <c r="F21" s="26"/>
      <c r="G21" s="26"/>
      <c r="H21" s="26"/>
      <c r="I21" s="2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4"/>
      <c r="U21" s="4"/>
      <c r="V21" s="4"/>
      <c r="W21" s="4"/>
      <c r="X21" s="4"/>
      <c r="Y21" s="4"/>
      <c r="Z21" s="4"/>
    </row>
    <row r="22" spans="1:26" ht="15" customHeight="1" x14ac:dyDescent="0.2">
      <c r="A22" s="4"/>
      <c r="B22" s="436"/>
      <c r="C22" s="436"/>
      <c r="D22" s="24"/>
      <c r="E22" s="26"/>
      <c r="F22" s="26">
        <v>0.05</v>
      </c>
      <c r="G22" s="26"/>
      <c r="H22" s="26"/>
      <c r="I22" s="26"/>
      <c r="J22" s="22"/>
      <c r="K22" s="27"/>
      <c r="L22" s="27"/>
      <c r="M22" s="27"/>
      <c r="N22" s="27"/>
      <c r="O22" s="27"/>
      <c r="P22" s="27"/>
      <c r="Q22" s="27"/>
      <c r="R22" s="27"/>
      <c r="S22" s="27"/>
      <c r="T22" s="4"/>
      <c r="U22" s="4"/>
      <c r="V22" s="4"/>
      <c r="W22" s="4"/>
      <c r="X22" s="4"/>
      <c r="Y22" s="4"/>
      <c r="Z22" s="4"/>
    </row>
    <row r="23" spans="1:26" ht="15" customHeight="1" x14ac:dyDescent="0.2">
      <c r="A23" s="4"/>
      <c r="B23" s="436"/>
      <c r="C23" s="436"/>
      <c r="D23" s="24"/>
      <c r="E23" s="26"/>
      <c r="F23" s="26"/>
      <c r="G23" s="37">
        <v>0.1</v>
      </c>
      <c r="H23" s="4"/>
      <c r="I23" s="26"/>
      <c r="J23" s="27" t="s">
        <v>63</v>
      </c>
      <c r="K23" s="28">
        <f>+K13</f>
        <v>4</v>
      </c>
      <c r="L23" s="28">
        <v>3</v>
      </c>
      <c r="M23" s="27">
        <f>+F26*2+G23*2+F22*2</f>
        <v>0.5</v>
      </c>
      <c r="N23" s="27">
        <f t="shared" ref="N23:O23" si="3">IF(+$J23=N$11,+$K23*$L23*$M23,0)</f>
        <v>6</v>
      </c>
      <c r="O23" s="27">
        <f t="shared" si="3"/>
        <v>0</v>
      </c>
      <c r="P23" s="27"/>
      <c r="Q23" s="27"/>
      <c r="R23" s="27"/>
      <c r="S23" s="27"/>
      <c r="T23" s="4"/>
      <c r="U23" s="4"/>
      <c r="V23" s="4"/>
      <c r="W23" s="4"/>
      <c r="X23" s="4"/>
      <c r="Y23" s="4"/>
      <c r="Z23" s="4"/>
    </row>
    <row r="24" spans="1:26" ht="15" customHeight="1" x14ac:dyDescent="0.2">
      <c r="A24" s="4"/>
      <c r="B24" s="436"/>
      <c r="C24" s="436"/>
      <c r="D24" s="24"/>
      <c r="E24" s="26"/>
      <c r="F24" s="26"/>
      <c r="G24" s="26"/>
      <c r="H24" s="26"/>
      <c r="I24" s="26"/>
      <c r="J24" s="27"/>
      <c r="K24" s="28"/>
      <c r="L24" s="28"/>
      <c r="M24" s="27"/>
      <c r="N24" s="27"/>
      <c r="O24" s="27"/>
      <c r="P24" s="27"/>
      <c r="Q24" s="27"/>
      <c r="R24" s="27"/>
      <c r="S24" s="27"/>
      <c r="T24" s="4"/>
      <c r="U24" s="4"/>
      <c r="V24" s="4"/>
      <c r="W24" s="4"/>
      <c r="X24" s="4"/>
      <c r="Y24" s="4"/>
      <c r="Z24" s="4"/>
    </row>
    <row r="25" spans="1:26" ht="15" customHeight="1" x14ac:dyDescent="0.2">
      <c r="A25" s="4"/>
      <c r="B25" s="436"/>
      <c r="C25" s="436"/>
      <c r="D25" s="24"/>
      <c r="E25" s="26"/>
      <c r="F25" s="26"/>
      <c r="G25" s="26"/>
      <c r="H25" s="26"/>
      <c r="I25" s="26"/>
      <c r="J25" s="27"/>
      <c r="K25" s="28"/>
      <c r="L25" s="28"/>
      <c r="M25" s="27"/>
      <c r="N25" s="27"/>
      <c r="O25" s="27"/>
      <c r="P25" s="27"/>
      <c r="Q25" s="27"/>
      <c r="R25" s="27"/>
      <c r="S25" s="27"/>
      <c r="T25" s="4"/>
      <c r="U25" s="4"/>
      <c r="V25" s="4"/>
      <c r="W25" s="4"/>
      <c r="X25" s="4"/>
      <c r="Y25" s="4"/>
      <c r="Z25" s="4"/>
    </row>
    <row r="26" spans="1:26" ht="15" customHeight="1" x14ac:dyDescent="0.2">
      <c r="A26" s="4"/>
      <c r="B26" s="436"/>
      <c r="C26" s="436"/>
      <c r="D26" s="24"/>
      <c r="E26" s="26"/>
      <c r="F26" s="26">
        <v>0.1</v>
      </c>
      <c r="G26" s="26"/>
      <c r="H26" s="26"/>
      <c r="I26" s="26"/>
      <c r="J26" s="22"/>
      <c r="K26" s="22"/>
      <c r="L26" s="22"/>
      <c r="M26" s="22"/>
      <c r="N26" s="22"/>
      <c r="O26" s="22"/>
      <c r="P26" s="27">
        <f t="shared" ref="P26:S26" si="4">IF(+$J23=P$11,+$K23*$L23*$M23,0)</f>
        <v>0</v>
      </c>
      <c r="Q26" s="27">
        <f t="shared" si="4"/>
        <v>0</v>
      </c>
      <c r="R26" s="27">
        <f t="shared" si="4"/>
        <v>0</v>
      </c>
      <c r="S26" s="27">
        <f t="shared" si="4"/>
        <v>0</v>
      </c>
      <c r="T26" s="4"/>
      <c r="U26" s="4"/>
      <c r="V26" s="4"/>
      <c r="W26" s="4"/>
      <c r="X26" s="4"/>
      <c r="Y26" s="4"/>
      <c r="Z26" s="4"/>
    </row>
    <row r="27" spans="1:26" ht="15" customHeight="1" x14ac:dyDescent="0.2">
      <c r="A27" s="4"/>
      <c r="B27" s="436"/>
      <c r="C27" s="461"/>
      <c r="D27" s="24"/>
      <c r="E27" s="26"/>
      <c r="F27" s="26"/>
      <c r="G27" s="26"/>
      <c r="H27" s="26"/>
      <c r="I27" s="26"/>
      <c r="J27" s="22"/>
      <c r="K27" s="28"/>
      <c r="L27" s="28"/>
      <c r="M27" s="27"/>
      <c r="N27" s="27"/>
      <c r="O27" s="27"/>
      <c r="P27" s="27"/>
      <c r="Q27" s="27"/>
      <c r="R27" s="27"/>
      <c r="S27" s="27"/>
      <c r="T27" s="4"/>
      <c r="U27" s="4"/>
      <c r="V27" s="4"/>
      <c r="W27" s="4"/>
      <c r="X27" s="4"/>
      <c r="Y27" s="4"/>
      <c r="Z27" s="4"/>
    </row>
    <row r="28" spans="1:26" ht="15" customHeight="1" x14ac:dyDescent="0.2">
      <c r="A28" s="4"/>
      <c r="B28" s="435" t="s">
        <v>31</v>
      </c>
      <c r="C28" s="435" t="s">
        <v>64</v>
      </c>
      <c r="D28" s="29"/>
      <c r="E28" s="30"/>
      <c r="F28" s="30"/>
      <c r="G28" s="30"/>
      <c r="H28" s="30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"/>
      <c r="U28" s="4"/>
      <c r="V28" s="4"/>
      <c r="W28" s="4"/>
      <c r="X28" s="4"/>
      <c r="Y28" s="4"/>
      <c r="Z28" s="4"/>
    </row>
    <row r="29" spans="1:26" ht="15" customHeight="1" x14ac:dyDescent="0.2">
      <c r="A29" s="4"/>
      <c r="B29" s="436"/>
      <c r="C29" s="436"/>
      <c r="D29" s="24"/>
      <c r="E29" s="26"/>
      <c r="F29" s="26"/>
      <c r="G29" s="26">
        <v>0.16</v>
      </c>
      <c r="H29" s="26"/>
      <c r="I29" s="26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4"/>
      <c r="U29" s="4"/>
      <c r="V29" s="4"/>
      <c r="W29" s="4"/>
      <c r="X29" s="4"/>
      <c r="Y29" s="4"/>
      <c r="Z29" s="4"/>
    </row>
    <row r="30" spans="1:26" ht="15" customHeight="1" x14ac:dyDescent="0.2">
      <c r="A30" s="4"/>
      <c r="B30" s="436"/>
      <c r="C30" s="436"/>
      <c r="D30" s="24"/>
      <c r="E30" s="26"/>
      <c r="F30" s="26"/>
      <c r="G30" s="4"/>
      <c r="H30" s="26"/>
      <c r="I30" s="26"/>
      <c r="J30" s="22"/>
      <c r="K30" s="27"/>
      <c r="L30" s="27"/>
      <c r="M30" s="27"/>
      <c r="N30" s="27"/>
      <c r="O30" s="27"/>
      <c r="P30" s="27"/>
      <c r="Q30" s="27"/>
      <c r="R30" s="27"/>
      <c r="S30" s="27"/>
      <c r="T30" s="4"/>
      <c r="U30" s="4"/>
      <c r="V30" s="4"/>
      <c r="W30" s="4"/>
      <c r="X30" s="4"/>
      <c r="Y30" s="4"/>
      <c r="Z30" s="4"/>
    </row>
    <row r="31" spans="1:26" ht="15" customHeight="1" x14ac:dyDescent="0.2">
      <c r="A31" s="4"/>
      <c r="B31" s="436"/>
      <c r="C31" s="436"/>
      <c r="D31" s="24"/>
      <c r="E31" s="4"/>
      <c r="F31" s="26"/>
      <c r="G31" s="4"/>
      <c r="H31" s="26"/>
      <c r="I31" s="26"/>
      <c r="J31" s="27" t="s">
        <v>60</v>
      </c>
      <c r="K31" s="28">
        <f>+K13</f>
        <v>4</v>
      </c>
      <c r="L31" s="28">
        <v>4</v>
      </c>
      <c r="M31" s="27">
        <f>+F34+G32+G29</f>
        <v>3.32</v>
      </c>
      <c r="N31" s="27">
        <f t="shared" ref="N31:S31" si="5">IF(+$J31=N$11,+$K31*$L31*$M31,0)</f>
        <v>0</v>
      </c>
      <c r="O31" s="27">
        <f t="shared" si="5"/>
        <v>53.12</v>
      </c>
      <c r="P31" s="27">
        <f t="shared" si="5"/>
        <v>0</v>
      </c>
      <c r="Q31" s="27">
        <f t="shared" si="5"/>
        <v>0</v>
      </c>
      <c r="R31" s="27">
        <f t="shared" si="5"/>
        <v>0</v>
      </c>
      <c r="S31" s="27">
        <f t="shared" si="5"/>
        <v>0</v>
      </c>
      <c r="T31" s="4"/>
      <c r="U31" s="4"/>
      <c r="V31" s="4"/>
      <c r="W31" s="4"/>
      <c r="X31" s="4"/>
      <c r="Y31" s="4"/>
      <c r="Z31" s="4"/>
    </row>
    <row r="32" spans="1:26" ht="15" customHeight="1" x14ac:dyDescent="0.2">
      <c r="A32" s="4"/>
      <c r="B32" s="436"/>
      <c r="C32" s="436"/>
      <c r="D32" s="24"/>
      <c r="E32" s="26"/>
      <c r="F32" s="26"/>
      <c r="G32" s="26">
        <v>3.09</v>
      </c>
      <c r="H32" s="26"/>
      <c r="I32" s="26"/>
      <c r="J32" s="27"/>
      <c r="K32" s="28"/>
      <c r="L32" s="28"/>
      <c r="M32" s="27"/>
      <c r="N32" s="27"/>
      <c r="O32" s="27"/>
      <c r="P32" s="27"/>
      <c r="Q32" s="27"/>
      <c r="R32" s="27"/>
      <c r="S32" s="27"/>
      <c r="T32" s="4"/>
      <c r="U32" s="4"/>
      <c r="V32" s="4"/>
      <c r="W32" s="4"/>
      <c r="X32" s="4"/>
      <c r="Y32" s="4"/>
      <c r="Z32" s="4"/>
    </row>
    <row r="33" spans="1:26" ht="15" customHeight="1" x14ac:dyDescent="0.2">
      <c r="A33" s="4"/>
      <c r="B33" s="436"/>
      <c r="C33" s="436"/>
      <c r="D33" s="24"/>
      <c r="E33" s="26"/>
      <c r="F33" s="26"/>
      <c r="G33" s="26"/>
      <c r="H33" s="26"/>
      <c r="I33" s="26"/>
      <c r="J33" s="27"/>
      <c r="K33" s="28"/>
      <c r="L33" s="28"/>
      <c r="M33" s="27"/>
      <c r="N33" s="27"/>
      <c r="O33" s="27"/>
      <c r="P33" s="27"/>
      <c r="Q33" s="27"/>
      <c r="R33" s="27"/>
      <c r="S33" s="27"/>
      <c r="T33" s="4"/>
      <c r="U33" s="4"/>
      <c r="V33" s="4"/>
      <c r="W33" s="4"/>
      <c r="X33" s="4"/>
      <c r="Y33" s="4"/>
      <c r="Z33" s="4"/>
    </row>
    <row r="34" spans="1:26" ht="15" customHeight="1" x14ac:dyDescent="0.2">
      <c r="A34" s="4"/>
      <c r="B34" s="436"/>
      <c r="C34" s="436"/>
      <c r="D34" s="24"/>
      <c r="E34" s="26"/>
      <c r="F34" s="26">
        <v>7.0000000000000007E-2</v>
      </c>
      <c r="G34" s="26"/>
      <c r="H34" s="26"/>
      <c r="I34" s="26"/>
      <c r="J34" s="22"/>
      <c r="K34" s="28"/>
      <c r="L34" s="28"/>
      <c r="M34" s="27"/>
      <c r="N34" s="27"/>
      <c r="O34" s="27"/>
      <c r="P34" s="27"/>
      <c r="Q34" s="27"/>
      <c r="R34" s="27"/>
      <c r="S34" s="27"/>
      <c r="T34" s="4"/>
      <c r="U34" s="4"/>
      <c r="V34" s="4"/>
      <c r="W34" s="4"/>
      <c r="X34" s="4"/>
      <c r="Y34" s="4"/>
      <c r="Z34" s="4"/>
    </row>
    <row r="35" spans="1:26" ht="15" customHeight="1" x14ac:dyDescent="0.2">
      <c r="A35" s="4"/>
      <c r="B35" s="436"/>
      <c r="C35" s="436"/>
      <c r="D35" s="24"/>
      <c r="E35" s="26"/>
      <c r="F35" s="26"/>
      <c r="G35" s="26"/>
      <c r="H35" s="26"/>
      <c r="I35" s="26"/>
      <c r="J35" s="22"/>
      <c r="K35" s="28"/>
      <c r="L35" s="28"/>
      <c r="M35" s="27"/>
      <c r="N35" s="27"/>
      <c r="O35" s="27"/>
      <c r="P35" s="27"/>
      <c r="Q35" s="27"/>
      <c r="R35" s="27"/>
      <c r="S35" s="27"/>
      <c r="T35" s="4"/>
      <c r="U35" s="4"/>
      <c r="V35" s="4"/>
      <c r="W35" s="4"/>
      <c r="X35" s="4"/>
      <c r="Y35" s="4"/>
      <c r="Z35" s="4"/>
    </row>
    <row r="36" spans="1:26" ht="15" customHeight="1" x14ac:dyDescent="0.2">
      <c r="A36" s="4"/>
      <c r="B36" s="436"/>
      <c r="C36" s="462" t="s">
        <v>62</v>
      </c>
      <c r="D36" s="29"/>
      <c r="E36" s="30"/>
      <c r="F36" s="30"/>
      <c r="G36" s="30"/>
      <c r="H36" s="30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4"/>
      <c r="U36" s="4"/>
      <c r="V36" s="4"/>
      <c r="W36" s="4"/>
      <c r="X36" s="4"/>
      <c r="Y36" s="4"/>
      <c r="Z36" s="4"/>
    </row>
    <row r="37" spans="1:26" ht="15" customHeight="1" x14ac:dyDescent="0.2">
      <c r="A37" s="4"/>
      <c r="B37" s="436"/>
      <c r="C37" s="436"/>
      <c r="D37" s="24"/>
      <c r="E37" s="26"/>
      <c r="F37" s="26"/>
      <c r="G37" s="26"/>
      <c r="H37" s="26"/>
      <c r="I37" s="2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4"/>
      <c r="U37" s="4"/>
      <c r="V37" s="4"/>
      <c r="W37" s="4"/>
      <c r="X37" s="4"/>
      <c r="Y37" s="4"/>
      <c r="Z37" s="4"/>
    </row>
    <row r="38" spans="1:26" ht="15" customHeight="1" x14ac:dyDescent="0.2">
      <c r="A38" s="4"/>
      <c r="B38" s="436"/>
      <c r="C38" s="436"/>
      <c r="D38" s="24"/>
      <c r="E38" s="26"/>
      <c r="F38" s="26">
        <v>0.05</v>
      </c>
      <c r="G38" s="26"/>
      <c r="H38" s="26"/>
      <c r="I38" s="26"/>
      <c r="J38" s="22"/>
      <c r="K38" s="27"/>
      <c r="L38" s="27"/>
      <c r="M38" s="27"/>
      <c r="N38" s="27"/>
      <c r="O38" s="27"/>
      <c r="P38" s="27"/>
      <c r="Q38" s="27"/>
      <c r="R38" s="27"/>
      <c r="S38" s="27"/>
      <c r="T38" s="4"/>
      <c r="U38" s="4"/>
      <c r="V38" s="4"/>
      <c r="W38" s="4"/>
      <c r="X38" s="4"/>
      <c r="Y38" s="4"/>
      <c r="Z38" s="4"/>
    </row>
    <row r="39" spans="1:26" ht="15" customHeight="1" x14ac:dyDescent="0.2">
      <c r="A39" s="4"/>
      <c r="B39" s="436"/>
      <c r="C39" s="436"/>
      <c r="D39" s="24"/>
      <c r="E39" s="26"/>
      <c r="F39" s="26"/>
      <c r="G39" s="37">
        <v>0.1</v>
      </c>
      <c r="H39" s="4"/>
      <c r="I39" s="26"/>
      <c r="J39" s="27" t="s">
        <v>63</v>
      </c>
      <c r="K39" s="28">
        <f>+K31</f>
        <v>4</v>
      </c>
      <c r="L39" s="28">
        <v>18</v>
      </c>
      <c r="M39" s="27">
        <f>+F41*2+G39*2+F38*2</f>
        <v>0.5</v>
      </c>
      <c r="N39" s="27">
        <f t="shared" ref="N39:O39" si="6">IF(+$J39=N$11,+$K39*$L39*$M39,0)</f>
        <v>36</v>
      </c>
      <c r="O39" s="27">
        <f t="shared" si="6"/>
        <v>0</v>
      </c>
      <c r="P39" s="27"/>
      <c r="Q39" s="27"/>
      <c r="R39" s="27"/>
      <c r="S39" s="27"/>
      <c r="T39" s="4"/>
      <c r="U39" s="4"/>
      <c r="V39" s="4"/>
      <c r="W39" s="4"/>
      <c r="X39" s="4"/>
      <c r="Y39" s="4"/>
      <c r="Z39" s="4"/>
    </row>
    <row r="40" spans="1:26" ht="15" customHeight="1" x14ac:dyDescent="0.2">
      <c r="A40" s="4"/>
      <c r="B40" s="436"/>
      <c r="C40" s="436"/>
      <c r="D40" s="24"/>
      <c r="E40" s="26"/>
      <c r="F40" s="26"/>
      <c r="G40" s="26"/>
      <c r="H40" s="26"/>
      <c r="I40" s="26"/>
      <c r="J40" s="27"/>
      <c r="K40" s="28"/>
      <c r="L40" s="28"/>
      <c r="M40" s="27"/>
      <c r="N40" s="27"/>
      <c r="O40" s="27"/>
      <c r="P40" s="27"/>
      <c r="Q40" s="27"/>
      <c r="R40" s="27"/>
      <c r="S40" s="27"/>
      <c r="T40" s="4"/>
      <c r="U40" s="4"/>
      <c r="V40" s="4"/>
      <c r="W40" s="4"/>
      <c r="X40" s="4"/>
      <c r="Y40" s="4"/>
      <c r="Z40" s="4"/>
    </row>
    <row r="41" spans="1:26" ht="15" customHeight="1" x14ac:dyDescent="0.2">
      <c r="A41" s="4"/>
      <c r="B41" s="436"/>
      <c r="C41" s="436"/>
      <c r="D41" s="24"/>
      <c r="E41" s="26"/>
      <c r="F41" s="26">
        <v>0.1</v>
      </c>
      <c r="G41" s="26"/>
      <c r="H41" s="26"/>
      <c r="I41" s="26"/>
      <c r="J41" s="22"/>
      <c r="K41" s="22"/>
      <c r="L41" s="22"/>
      <c r="M41" s="22"/>
      <c r="N41" s="22"/>
      <c r="O41" s="22"/>
      <c r="P41" s="27">
        <f t="shared" ref="P41:S41" si="7">IF(+$J39=P$11,+$K39*$L39*$M39,0)</f>
        <v>0</v>
      </c>
      <c r="Q41" s="27">
        <f t="shared" si="7"/>
        <v>0</v>
      </c>
      <c r="R41" s="27">
        <f t="shared" si="7"/>
        <v>0</v>
      </c>
      <c r="S41" s="27">
        <f t="shared" si="7"/>
        <v>0</v>
      </c>
      <c r="T41" s="4"/>
      <c r="U41" s="4"/>
      <c r="V41" s="4"/>
      <c r="W41" s="4"/>
      <c r="X41" s="4"/>
      <c r="Y41" s="4"/>
      <c r="Z41" s="4"/>
    </row>
    <row r="42" spans="1:26" ht="15" customHeight="1" x14ac:dyDescent="0.2">
      <c r="A42" s="4"/>
      <c r="B42" s="436"/>
      <c r="C42" s="436"/>
      <c r="D42" s="24"/>
      <c r="E42" s="26"/>
      <c r="F42" s="26"/>
      <c r="G42" s="26"/>
      <c r="H42" s="26"/>
      <c r="I42" s="26"/>
      <c r="J42" s="22"/>
      <c r="K42" s="28"/>
      <c r="L42" s="28"/>
      <c r="M42" s="27"/>
      <c r="N42" s="27"/>
      <c r="O42" s="27"/>
      <c r="P42" s="27"/>
      <c r="Q42" s="27"/>
      <c r="R42" s="27"/>
      <c r="S42" s="27"/>
      <c r="T42" s="4"/>
      <c r="U42" s="4"/>
      <c r="V42" s="4"/>
      <c r="W42" s="4"/>
      <c r="X42" s="4"/>
      <c r="Y42" s="4"/>
      <c r="Z42" s="4"/>
    </row>
    <row r="43" spans="1:26" ht="15" customHeight="1" x14ac:dyDescent="0.2">
      <c r="A43" s="4"/>
      <c r="B43" s="435" t="s">
        <v>65</v>
      </c>
      <c r="C43" s="435" t="s">
        <v>66</v>
      </c>
      <c r="D43" s="29"/>
      <c r="E43" s="30"/>
      <c r="F43" s="30"/>
      <c r="G43" s="30"/>
      <c r="H43" s="30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"/>
      <c r="U43" s="4"/>
      <c r="V43" s="4"/>
      <c r="W43" s="4"/>
      <c r="X43" s="4"/>
      <c r="Y43" s="4"/>
      <c r="Z43" s="4"/>
    </row>
    <row r="44" spans="1:26" ht="15" customHeight="1" x14ac:dyDescent="0.2">
      <c r="A44" s="4"/>
      <c r="B44" s="436"/>
      <c r="C44" s="436"/>
      <c r="D44" s="24"/>
      <c r="E44" s="26"/>
      <c r="F44" s="26">
        <v>3.07</v>
      </c>
      <c r="G44" s="4"/>
      <c r="H44" s="26"/>
      <c r="I44" s="26"/>
      <c r="J44" s="22"/>
      <c r="K44" s="27"/>
      <c r="L44" s="27"/>
      <c r="M44" s="27"/>
      <c r="N44" s="27"/>
      <c r="O44" s="27"/>
      <c r="P44" s="27"/>
      <c r="Q44" s="27"/>
      <c r="R44" s="27"/>
      <c r="S44" s="27"/>
      <c r="T44" s="4"/>
      <c r="U44" s="4"/>
      <c r="V44" s="4"/>
      <c r="W44" s="4"/>
      <c r="X44" s="4"/>
      <c r="Y44" s="4"/>
      <c r="Z44" s="4"/>
    </row>
    <row r="45" spans="1:26" ht="15" customHeight="1" x14ac:dyDescent="0.2">
      <c r="A45" s="4"/>
      <c r="B45" s="436"/>
      <c r="C45" s="436"/>
      <c r="D45" s="24"/>
      <c r="E45" s="4"/>
      <c r="F45" s="26"/>
      <c r="G45" s="4"/>
      <c r="H45" s="26"/>
      <c r="I45" s="26"/>
      <c r="J45" s="27" t="s">
        <v>60</v>
      </c>
      <c r="K45" s="28">
        <v>4</v>
      </c>
      <c r="L45" s="28">
        <v>2</v>
      </c>
      <c r="M45" s="27">
        <f>+E46+G46+F44</f>
        <v>3.3899999999999997</v>
      </c>
      <c r="N45" s="27">
        <f t="shared" ref="N45:S45" si="8">IF(+$J45=N$11,+$K45*$L45*$M45,0)</f>
        <v>0</v>
      </c>
      <c r="O45" s="27">
        <f t="shared" si="8"/>
        <v>27.119999999999997</v>
      </c>
      <c r="P45" s="27">
        <f t="shared" si="8"/>
        <v>0</v>
      </c>
      <c r="Q45" s="27">
        <f t="shared" si="8"/>
        <v>0</v>
      </c>
      <c r="R45" s="27">
        <f t="shared" si="8"/>
        <v>0</v>
      </c>
      <c r="S45" s="27">
        <f t="shared" si="8"/>
        <v>0</v>
      </c>
      <c r="T45" s="4"/>
      <c r="U45" s="4"/>
      <c r="V45" s="4"/>
      <c r="W45" s="4"/>
      <c r="X45" s="4"/>
      <c r="Y45" s="4"/>
      <c r="Z45" s="4"/>
    </row>
    <row r="46" spans="1:26" ht="15" customHeight="1" x14ac:dyDescent="0.2">
      <c r="A46" s="4"/>
      <c r="B46" s="436"/>
      <c r="C46" s="436"/>
      <c r="D46" s="24"/>
      <c r="E46" s="26">
        <v>0.16</v>
      </c>
      <c r="F46" s="26"/>
      <c r="G46" s="37">
        <v>0.16</v>
      </c>
      <c r="H46" s="26"/>
      <c r="I46" s="26"/>
      <c r="J46" s="22"/>
      <c r="K46" s="28"/>
      <c r="L46" s="28"/>
      <c r="M46" s="27"/>
      <c r="N46" s="27"/>
      <c r="O46" s="27"/>
      <c r="P46" s="27"/>
      <c r="Q46" s="27"/>
      <c r="R46" s="27"/>
      <c r="S46" s="27"/>
      <c r="T46" s="4"/>
      <c r="U46" s="4"/>
      <c r="V46" s="4"/>
      <c r="W46" s="4"/>
      <c r="X46" s="4"/>
      <c r="Y46" s="4"/>
      <c r="Z46" s="4"/>
    </row>
    <row r="47" spans="1:26" ht="15" customHeight="1" x14ac:dyDescent="0.2">
      <c r="A47" s="4"/>
      <c r="B47" s="436"/>
      <c r="C47" s="436"/>
      <c r="D47" s="24"/>
      <c r="E47" s="26"/>
      <c r="F47" s="26"/>
      <c r="G47" s="26"/>
      <c r="H47" s="26"/>
      <c r="I47" s="26"/>
      <c r="J47" s="22"/>
      <c r="K47" s="28"/>
      <c r="L47" s="28"/>
      <c r="M47" s="27"/>
      <c r="N47" s="27"/>
      <c r="O47" s="27"/>
      <c r="P47" s="27"/>
      <c r="Q47" s="27"/>
      <c r="R47" s="27"/>
      <c r="S47" s="27"/>
      <c r="T47" s="4"/>
      <c r="U47" s="4"/>
      <c r="V47" s="4"/>
      <c r="W47" s="4"/>
      <c r="X47" s="4"/>
      <c r="Y47" s="4"/>
      <c r="Z47" s="4"/>
    </row>
    <row r="48" spans="1:26" ht="15" customHeight="1" x14ac:dyDescent="0.2">
      <c r="A48" s="4"/>
      <c r="B48" s="436"/>
      <c r="C48" s="462" t="s">
        <v>62</v>
      </c>
      <c r="D48" s="29"/>
      <c r="E48" s="30"/>
      <c r="F48" s="30"/>
      <c r="G48" s="30"/>
      <c r="H48" s="30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4"/>
      <c r="U48" s="4"/>
      <c r="V48" s="4"/>
      <c r="W48" s="4"/>
      <c r="X48" s="4"/>
      <c r="Y48" s="4"/>
      <c r="Z48" s="4"/>
    </row>
    <row r="49" spans="1:26" ht="15" customHeight="1" x14ac:dyDescent="0.2">
      <c r="A49" s="4"/>
      <c r="B49" s="436"/>
      <c r="C49" s="436"/>
      <c r="D49" s="24"/>
      <c r="E49" s="26"/>
      <c r="F49" s="26"/>
      <c r="G49" s="26"/>
      <c r="H49" s="26"/>
      <c r="I49" s="26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4"/>
      <c r="U49" s="4"/>
      <c r="V49" s="4"/>
      <c r="W49" s="4"/>
      <c r="X49" s="4"/>
      <c r="Y49" s="4"/>
      <c r="Z49" s="4"/>
    </row>
    <row r="50" spans="1:26" ht="15" customHeight="1" x14ac:dyDescent="0.2">
      <c r="A50" s="4"/>
      <c r="B50" s="436"/>
      <c r="C50" s="436"/>
      <c r="D50" s="24"/>
      <c r="E50" s="26"/>
      <c r="F50" s="26"/>
      <c r="G50" s="37">
        <v>0.35</v>
      </c>
      <c r="H50" s="4"/>
      <c r="I50" s="26"/>
      <c r="J50" s="22"/>
      <c r="K50" s="27"/>
      <c r="L50" s="27"/>
      <c r="M50" s="27"/>
      <c r="N50" s="27"/>
      <c r="O50" s="27"/>
      <c r="P50" s="27"/>
      <c r="Q50" s="27"/>
      <c r="R50" s="27"/>
      <c r="S50" s="27"/>
      <c r="T50" s="4"/>
      <c r="U50" s="4"/>
      <c r="V50" s="4"/>
      <c r="W50" s="4"/>
      <c r="X50" s="4"/>
      <c r="Y50" s="4"/>
      <c r="Z50" s="4"/>
    </row>
    <row r="51" spans="1:26" ht="15" customHeight="1" x14ac:dyDescent="0.2">
      <c r="A51" s="4"/>
      <c r="B51" s="436"/>
      <c r="C51" s="436"/>
      <c r="D51" s="24"/>
      <c r="E51" s="26"/>
      <c r="F51" s="26"/>
      <c r="G51" s="26"/>
      <c r="H51" s="26"/>
      <c r="I51" s="26"/>
      <c r="J51" s="27" t="s">
        <v>63</v>
      </c>
      <c r="K51" s="28">
        <f>+K45</f>
        <v>4</v>
      </c>
      <c r="L51" s="28">
        <v>21</v>
      </c>
      <c r="M51" s="27">
        <f>+G50</f>
        <v>0.35</v>
      </c>
      <c r="N51" s="27">
        <f t="shared" ref="N51:O51" si="9">IF(+$J51=N$11,+$K51*$L51*$M51,0)</f>
        <v>29.4</v>
      </c>
      <c r="O51" s="27">
        <f t="shared" si="9"/>
        <v>0</v>
      </c>
      <c r="P51" s="27"/>
      <c r="Q51" s="27"/>
      <c r="R51" s="27"/>
      <c r="S51" s="27"/>
      <c r="T51" s="4"/>
      <c r="U51" s="4"/>
      <c r="V51" s="4"/>
      <c r="W51" s="4"/>
      <c r="X51" s="4"/>
      <c r="Y51" s="4"/>
      <c r="Z51" s="4"/>
    </row>
    <row r="52" spans="1:26" ht="15" customHeight="1" x14ac:dyDescent="0.2">
      <c r="A52" s="4"/>
      <c r="B52" s="436"/>
      <c r="C52" s="461"/>
      <c r="D52" s="32"/>
      <c r="E52" s="33"/>
      <c r="F52" s="33"/>
      <c r="G52" s="33"/>
      <c r="H52" s="33"/>
      <c r="I52" s="33"/>
      <c r="J52" s="34"/>
      <c r="K52" s="35"/>
      <c r="L52" s="35"/>
      <c r="M52" s="36"/>
      <c r="N52" s="36"/>
      <c r="O52" s="36"/>
      <c r="P52" s="36"/>
      <c r="Q52" s="36"/>
      <c r="R52" s="36"/>
      <c r="S52" s="36"/>
      <c r="T52" s="4"/>
      <c r="U52" s="4"/>
      <c r="V52" s="4"/>
      <c r="W52" s="4"/>
      <c r="X52" s="4"/>
      <c r="Y52" s="4"/>
      <c r="Z52" s="4"/>
    </row>
    <row r="53" spans="1:26" ht="15" customHeight="1" x14ac:dyDescent="0.2">
      <c r="A53" s="4"/>
      <c r="B53" s="435" t="s">
        <v>67</v>
      </c>
      <c r="C53" s="435" t="s">
        <v>66</v>
      </c>
      <c r="D53" s="29"/>
      <c r="E53" s="30"/>
      <c r="F53" s="30"/>
      <c r="G53" s="30"/>
      <c r="H53" s="30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4"/>
      <c r="U53" s="4"/>
      <c r="V53" s="4"/>
      <c r="W53" s="4"/>
      <c r="X53" s="4"/>
      <c r="Y53" s="4"/>
      <c r="Z53" s="4"/>
    </row>
    <row r="54" spans="1:26" ht="15" customHeight="1" x14ac:dyDescent="0.2">
      <c r="A54" s="4"/>
      <c r="B54" s="436"/>
      <c r="C54" s="436"/>
      <c r="D54" s="24"/>
      <c r="E54" s="26"/>
      <c r="F54" s="26">
        <v>2.2200000000000002</v>
      </c>
      <c r="G54" s="4"/>
      <c r="H54" s="26"/>
      <c r="I54" s="26"/>
      <c r="J54" s="22"/>
      <c r="K54" s="27"/>
      <c r="L54" s="27"/>
      <c r="M54" s="27"/>
      <c r="N54" s="27"/>
      <c r="O54" s="27"/>
      <c r="P54" s="27"/>
      <c r="Q54" s="27"/>
      <c r="R54" s="27"/>
      <c r="S54" s="27"/>
      <c r="T54" s="4"/>
      <c r="U54" s="4"/>
      <c r="V54" s="4"/>
      <c r="W54" s="4"/>
      <c r="X54" s="4"/>
      <c r="Y54" s="4"/>
      <c r="Z54" s="4"/>
    </row>
    <row r="55" spans="1:26" ht="15" customHeight="1" x14ac:dyDescent="0.2">
      <c r="A55" s="4"/>
      <c r="B55" s="436"/>
      <c r="C55" s="436"/>
      <c r="D55" s="24"/>
      <c r="E55" s="4"/>
      <c r="F55" s="26"/>
      <c r="G55" s="4"/>
      <c r="H55" s="26"/>
      <c r="I55" s="26"/>
      <c r="J55" s="27" t="s">
        <v>60</v>
      </c>
      <c r="K55" s="28">
        <v>4</v>
      </c>
      <c r="L55" s="28">
        <v>2</v>
      </c>
      <c r="M55" s="27">
        <f>+E56+G56+F54</f>
        <v>2.54</v>
      </c>
      <c r="N55" s="27">
        <f t="shared" ref="N55:S55" si="10">IF(+$J55=N$11,+$K55*$L55*$M55,0)</f>
        <v>0</v>
      </c>
      <c r="O55" s="27">
        <f t="shared" si="10"/>
        <v>20.32</v>
      </c>
      <c r="P55" s="27">
        <f t="shared" si="10"/>
        <v>0</v>
      </c>
      <c r="Q55" s="27">
        <f t="shared" si="10"/>
        <v>0</v>
      </c>
      <c r="R55" s="27">
        <f t="shared" si="10"/>
        <v>0</v>
      </c>
      <c r="S55" s="27">
        <f t="shared" si="10"/>
        <v>0</v>
      </c>
      <c r="T55" s="4"/>
      <c r="U55" s="4"/>
      <c r="V55" s="4"/>
      <c r="W55" s="4"/>
      <c r="X55" s="4"/>
      <c r="Y55" s="4"/>
      <c r="Z55" s="4"/>
    </row>
    <row r="56" spans="1:26" ht="15" customHeight="1" x14ac:dyDescent="0.2">
      <c r="A56" s="4"/>
      <c r="B56" s="436"/>
      <c r="C56" s="436"/>
      <c r="D56" s="24"/>
      <c r="E56" s="26">
        <v>0.16</v>
      </c>
      <c r="F56" s="26"/>
      <c r="G56" s="37">
        <v>0.16</v>
      </c>
      <c r="H56" s="26"/>
      <c r="I56" s="26"/>
      <c r="J56" s="22"/>
      <c r="K56" s="28"/>
      <c r="L56" s="28"/>
      <c r="M56" s="27"/>
      <c r="N56" s="27"/>
      <c r="O56" s="27"/>
      <c r="P56" s="27"/>
      <c r="Q56" s="27"/>
      <c r="R56" s="27"/>
      <c r="S56" s="27"/>
      <c r="T56" s="4"/>
      <c r="U56" s="4"/>
      <c r="V56" s="4"/>
      <c r="W56" s="4"/>
      <c r="X56" s="4"/>
      <c r="Y56" s="4"/>
      <c r="Z56" s="4"/>
    </row>
    <row r="57" spans="1:26" ht="15" customHeight="1" x14ac:dyDescent="0.2">
      <c r="A57" s="4"/>
      <c r="B57" s="436"/>
      <c r="C57" s="436"/>
      <c r="D57" s="24"/>
      <c r="E57" s="26"/>
      <c r="F57" s="26"/>
      <c r="G57" s="26"/>
      <c r="H57" s="26"/>
      <c r="I57" s="26"/>
      <c r="J57" s="22"/>
      <c r="K57" s="28"/>
      <c r="L57" s="28"/>
      <c r="M57" s="27"/>
      <c r="N57" s="27"/>
      <c r="O57" s="27"/>
      <c r="P57" s="27"/>
      <c r="Q57" s="27"/>
      <c r="R57" s="27"/>
      <c r="S57" s="27"/>
      <c r="T57" s="4"/>
      <c r="U57" s="4"/>
      <c r="V57" s="4"/>
      <c r="W57" s="4"/>
      <c r="X57" s="4"/>
      <c r="Y57" s="4"/>
      <c r="Z57" s="4"/>
    </row>
    <row r="58" spans="1:26" ht="15" customHeight="1" x14ac:dyDescent="0.2">
      <c r="A58" s="4"/>
      <c r="B58" s="436"/>
      <c r="C58" s="462" t="s">
        <v>62</v>
      </c>
      <c r="D58" s="29"/>
      <c r="E58" s="30"/>
      <c r="F58" s="30"/>
      <c r="G58" s="30"/>
      <c r="H58" s="30"/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4"/>
      <c r="U58" s="4"/>
      <c r="V58" s="4"/>
      <c r="W58" s="4"/>
      <c r="X58" s="4"/>
      <c r="Y58" s="4"/>
      <c r="Z58" s="4"/>
    </row>
    <row r="59" spans="1:26" ht="15" customHeight="1" x14ac:dyDescent="0.2">
      <c r="A59" s="4"/>
      <c r="B59" s="436"/>
      <c r="C59" s="436"/>
      <c r="D59" s="24"/>
      <c r="E59" s="26"/>
      <c r="F59" s="26"/>
      <c r="G59" s="26"/>
      <c r="H59" s="26"/>
      <c r="I59" s="2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4"/>
      <c r="U59" s="4"/>
      <c r="V59" s="4"/>
      <c r="W59" s="4"/>
      <c r="X59" s="4"/>
      <c r="Y59" s="4"/>
      <c r="Z59" s="4"/>
    </row>
    <row r="60" spans="1:26" ht="15" customHeight="1" x14ac:dyDescent="0.2">
      <c r="A60" s="4"/>
      <c r="B60" s="436"/>
      <c r="C60" s="436"/>
      <c r="D60" s="24"/>
      <c r="E60" s="26"/>
      <c r="F60" s="26"/>
      <c r="G60" s="37">
        <v>0.35</v>
      </c>
      <c r="H60" s="4"/>
      <c r="I60" s="26"/>
      <c r="J60" s="22"/>
      <c r="K60" s="27"/>
      <c r="L60" s="27"/>
      <c r="M60" s="27"/>
      <c r="N60" s="27"/>
      <c r="O60" s="27"/>
      <c r="P60" s="27"/>
      <c r="Q60" s="27"/>
      <c r="R60" s="27"/>
      <c r="S60" s="27"/>
      <c r="T60" s="4"/>
      <c r="U60" s="4"/>
      <c r="V60" s="4"/>
      <c r="W60" s="4"/>
      <c r="X60" s="4"/>
      <c r="Y60" s="4"/>
      <c r="Z60" s="4"/>
    </row>
    <row r="61" spans="1:26" ht="15" customHeight="1" x14ac:dyDescent="0.2">
      <c r="A61" s="4"/>
      <c r="B61" s="436"/>
      <c r="C61" s="436"/>
      <c r="D61" s="24"/>
      <c r="E61" s="26"/>
      <c r="F61" s="26"/>
      <c r="G61" s="26"/>
      <c r="H61" s="26"/>
      <c r="I61" s="26"/>
      <c r="J61" s="27" t="s">
        <v>63</v>
      </c>
      <c r="K61" s="28">
        <f>+K55</f>
        <v>4</v>
      </c>
      <c r="L61" s="28">
        <v>17</v>
      </c>
      <c r="M61" s="27">
        <f>+G60</f>
        <v>0.35</v>
      </c>
      <c r="N61" s="27">
        <f t="shared" ref="N61:O61" si="11">IF(+$J61=N$11,+$K61*$L61*$M61,0)</f>
        <v>23.799999999999997</v>
      </c>
      <c r="O61" s="27">
        <f t="shared" si="11"/>
        <v>0</v>
      </c>
      <c r="P61" s="27"/>
      <c r="Q61" s="27"/>
      <c r="R61" s="27"/>
      <c r="S61" s="27"/>
      <c r="T61" s="4"/>
      <c r="U61" s="4"/>
      <c r="V61" s="4"/>
      <c r="W61" s="4"/>
      <c r="X61" s="4"/>
      <c r="Y61" s="4"/>
      <c r="Z61" s="4"/>
    </row>
    <row r="62" spans="1:26" ht="15" customHeight="1" x14ac:dyDescent="0.2">
      <c r="A62" s="4"/>
      <c r="B62" s="436"/>
      <c r="C62" s="436"/>
      <c r="D62" s="24"/>
      <c r="E62" s="26"/>
      <c r="F62" s="26"/>
      <c r="G62" s="26"/>
      <c r="H62" s="26"/>
      <c r="I62" s="26"/>
      <c r="J62" s="22"/>
      <c r="K62" s="22"/>
      <c r="L62" s="22"/>
      <c r="M62" s="22"/>
      <c r="N62" s="22"/>
      <c r="O62" s="22"/>
      <c r="P62" s="27">
        <f t="shared" ref="P62:S62" si="12">IF(+$J61=P$11,+$K61*$L61*$M61,0)</f>
        <v>0</v>
      </c>
      <c r="Q62" s="27">
        <f t="shared" si="12"/>
        <v>0</v>
      </c>
      <c r="R62" s="27">
        <f t="shared" si="12"/>
        <v>0</v>
      </c>
      <c r="S62" s="27">
        <f t="shared" si="12"/>
        <v>0</v>
      </c>
      <c r="T62" s="4"/>
      <c r="U62" s="4"/>
      <c r="V62" s="4"/>
      <c r="W62" s="4"/>
      <c r="X62" s="4"/>
      <c r="Y62" s="4"/>
      <c r="Z62" s="4"/>
    </row>
    <row r="63" spans="1:26" ht="15" customHeight="1" x14ac:dyDescent="0.2">
      <c r="A63" s="4"/>
      <c r="B63" s="461"/>
      <c r="C63" s="461"/>
      <c r="D63" s="32"/>
      <c r="E63" s="33"/>
      <c r="F63" s="33"/>
      <c r="G63" s="33"/>
      <c r="H63" s="33"/>
      <c r="I63" s="33"/>
      <c r="J63" s="34"/>
      <c r="K63" s="35"/>
      <c r="L63" s="35"/>
      <c r="M63" s="36"/>
      <c r="N63" s="36"/>
      <c r="O63" s="36"/>
      <c r="P63" s="36"/>
      <c r="Q63" s="36"/>
      <c r="R63" s="36"/>
      <c r="S63" s="36"/>
      <c r="T63" s="4"/>
      <c r="U63" s="4"/>
      <c r="V63" s="4"/>
      <c r="W63" s="4"/>
      <c r="X63" s="4"/>
      <c r="Y63" s="4"/>
      <c r="Z63" s="4"/>
    </row>
    <row r="64" spans="1:26" ht="15" customHeight="1" x14ac:dyDescent="0.2">
      <c r="A64" s="4"/>
      <c r="B64" s="435" t="s">
        <v>68</v>
      </c>
      <c r="C64" s="435" t="s">
        <v>66</v>
      </c>
      <c r="D64" s="29"/>
      <c r="E64" s="30"/>
      <c r="F64" s="30"/>
      <c r="G64" s="30"/>
      <c r="H64" s="30"/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4"/>
      <c r="U64" s="4"/>
      <c r="V64" s="4"/>
      <c r="W64" s="4"/>
      <c r="X64" s="4"/>
      <c r="Y64" s="4"/>
      <c r="Z64" s="4"/>
    </row>
    <row r="65" spans="1:26" ht="15" customHeight="1" x14ac:dyDescent="0.2">
      <c r="A65" s="4"/>
      <c r="B65" s="436"/>
      <c r="C65" s="436"/>
      <c r="D65" s="24"/>
      <c r="E65" s="26"/>
      <c r="F65" s="26">
        <v>2.2200000000000002</v>
      </c>
      <c r="G65" s="4"/>
      <c r="H65" s="26"/>
      <c r="I65" s="26"/>
      <c r="J65" s="22"/>
      <c r="K65" s="27"/>
      <c r="L65" s="27"/>
      <c r="M65" s="27"/>
      <c r="N65" s="27"/>
      <c r="O65" s="27"/>
      <c r="P65" s="27"/>
      <c r="Q65" s="27"/>
      <c r="R65" s="27"/>
      <c r="S65" s="27"/>
      <c r="T65" s="4"/>
      <c r="U65" s="4"/>
      <c r="V65" s="4"/>
      <c r="W65" s="4"/>
      <c r="X65" s="4"/>
      <c r="Y65" s="4"/>
      <c r="Z65" s="4"/>
    </row>
    <row r="66" spans="1:26" ht="15" customHeight="1" x14ac:dyDescent="0.2">
      <c r="A66" s="4"/>
      <c r="B66" s="436"/>
      <c r="C66" s="436"/>
      <c r="D66" s="24"/>
      <c r="E66" s="4"/>
      <c r="F66" s="26"/>
      <c r="G66" s="4"/>
      <c r="H66" s="26"/>
      <c r="I66" s="26"/>
      <c r="J66" s="27" t="s">
        <v>60</v>
      </c>
      <c r="K66" s="28">
        <v>1</v>
      </c>
      <c r="L66" s="28">
        <v>4</v>
      </c>
      <c r="M66" s="27">
        <f>+E67+G67+F65</f>
        <v>2.54</v>
      </c>
      <c r="N66" s="27">
        <f t="shared" ref="N66:S66" si="13">IF(+$J66=N$11,+$K66*$L66*$M66,0)</f>
        <v>0</v>
      </c>
      <c r="O66" s="27">
        <f t="shared" si="13"/>
        <v>10.16</v>
      </c>
      <c r="P66" s="27">
        <f t="shared" si="13"/>
        <v>0</v>
      </c>
      <c r="Q66" s="27">
        <f t="shared" si="13"/>
        <v>0</v>
      </c>
      <c r="R66" s="27">
        <f t="shared" si="13"/>
        <v>0</v>
      </c>
      <c r="S66" s="27">
        <f t="shared" si="13"/>
        <v>0</v>
      </c>
      <c r="T66" s="4"/>
      <c r="U66" s="4"/>
      <c r="V66" s="4"/>
      <c r="W66" s="4"/>
      <c r="X66" s="4"/>
      <c r="Y66" s="4"/>
      <c r="Z66" s="4"/>
    </row>
    <row r="67" spans="1:26" ht="15" customHeight="1" x14ac:dyDescent="0.2">
      <c r="A67" s="4"/>
      <c r="B67" s="436"/>
      <c r="C67" s="436"/>
      <c r="D67" s="24"/>
      <c r="E67" s="26">
        <v>0.16</v>
      </c>
      <c r="F67" s="26"/>
      <c r="G67" s="37">
        <v>0.16</v>
      </c>
      <c r="H67" s="26"/>
      <c r="I67" s="26"/>
      <c r="J67" s="22"/>
      <c r="K67" s="28"/>
      <c r="L67" s="28"/>
      <c r="M67" s="27"/>
      <c r="N67" s="27"/>
      <c r="O67" s="27"/>
      <c r="P67" s="27"/>
      <c r="Q67" s="27"/>
      <c r="R67" s="27"/>
      <c r="S67" s="27"/>
      <c r="T67" s="4"/>
      <c r="U67" s="4"/>
      <c r="V67" s="4"/>
      <c r="W67" s="4"/>
      <c r="X67" s="4"/>
      <c r="Y67" s="4"/>
      <c r="Z67" s="4"/>
    </row>
    <row r="68" spans="1:26" ht="15" customHeight="1" x14ac:dyDescent="0.2">
      <c r="A68" s="4"/>
      <c r="B68" s="436"/>
      <c r="C68" s="436"/>
      <c r="D68" s="24"/>
      <c r="E68" s="26"/>
      <c r="F68" s="26"/>
      <c r="G68" s="26"/>
      <c r="H68" s="26"/>
      <c r="I68" s="26"/>
      <c r="J68" s="22"/>
      <c r="K68" s="28"/>
      <c r="L68" s="28"/>
      <c r="M68" s="27"/>
      <c r="N68" s="27"/>
      <c r="O68" s="27"/>
      <c r="P68" s="27"/>
      <c r="Q68" s="27"/>
      <c r="R68" s="27"/>
      <c r="S68" s="27"/>
      <c r="T68" s="4"/>
      <c r="U68" s="4"/>
      <c r="V68" s="4"/>
      <c r="W68" s="4"/>
      <c r="X68" s="4"/>
      <c r="Y68" s="4"/>
      <c r="Z68" s="4"/>
    </row>
    <row r="69" spans="1:26" ht="15" customHeight="1" x14ac:dyDescent="0.2">
      <c r="A69" s="4"/>
      <c r="B69" s="436"/>
      <c r="C69" s="462" t="s">
        <v>62</v>
      </c>
      <c r="D69" s="29"/>
      <c r="E69" s="30"/>
      <c r="F69" s="30"/>
      <c r="G69" s="30"/>
      <c r="H69" s="30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4"/>
      <c r="U69" s="4"/>
      <c r="V69" s="4"/>
      <c r="W69" s="4"/>
      <c r="X69" s="4"/>
      <c r="Y69" s="4"/>
      <c r="Z69" s="4"/>
    </row>
    <row r="70" spans="1:26" ht="15" customHeight="1" x14ac:dyDescent="0.2">
      <c r="A70" s="4"/>
      <c r="B70" s="436"/>
      <c r="C70" s="436"/>
      <c r="D70" s="24"/>
      <c r="E70" s="26"/>
      <c r="F70" s="26"/>
      <c r="G70" s="26"/>
      <c r="H70" s="26"/>
      <c r="I70" s="26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4"/>
      <c r="U70" s="4"/>
      <c r="V70" s="4"/>
      <c r="W70" s="4"/>
      <c r="X70" s="4"/>
      <c r="Y70" s="4"/>
      <c r="Z70" s="4"/>
    </row>
    <row r="71" spans="1:26" ht="15" customHeight="1" x14ac:dyDescent="0.2">
      <c r="A71" s="4"/>
      <c r="B71" s="436"/>
      <c r="C71" s="436"/>
      <c r="D71" s="24"/>
      <c r="E71" s="26"/>
      <c r="F71" s="26">
        <v>0.05</v>
      </c>
      <c r="G71" s="26"/>
      <c r="H71" s="26"/>
      <c r="I71" s="26"/>
      <c r="J71" s="22"/>
      <c r="K71" s="27"/>
      <c r="L71" s="27"/>
      <c r="M71" s="27"/>
      <c r="N71" s="27"/>
      <c r="O71" s="27"/>
      <c r="P71" s="27"/>
      <c r="Q71" s="27"/>
      <c r="R71" s="27"/>
      <c r="S71" s="27"/>
      <c r="T71" s="4"/>
      <c r="U71" s="4"/>
      <c r="V71" s="4"/>
      <c r="W71" s="4"/>
      <c r="X71" s="4"/>
      <c r="Y71" s="4"/>
      <c r="Z71" s="4"/>
    </row>
    <row r="72" spans="1:26" ht="15" customHeight="1" x14ac:dyDescent="0.2">
      <c r="A72" s="4"/>
      <c r="B72" s="436"/>
      <c r="C72" s="436"/>
      <c r="D72" s="24"/>
      <c r="E72" s="26"/>
      <c r="F72" s="26"/>
      <c r="G72" s="37">
        <v>0.15</v>
      </c>
      <c r="H72" s="4"/>
      <c r="I72" s="26"/>
      <c r="J72" s="27" t="s">
        <v>63</v>
      </c>
      <c r="K72" s="28">
        <v>1</v>
      </c>
      <c r="L72" s="28">
        <v>17</v>
      </c>
      <c r="M72" s="27">
        <f>+F74*2+G72*2+F71*2</f>
        <v>0.6</v>
      </c>
      <c r="N72" s="27">
        <f t="shared" ref="N72:O72" si="14">IF(+$J72=N$11,+$K72*$L72*$M72,0)</f>
        <v>10.199999999999999</v>
      </c>
      <c r="O72" s="27">
        <f t="shared" si="14"/>
        <v>0</v>
      </c>
      <c r="P72" s="27"/>
      <c r="Q72" s="27"/>
      <c r="R72" s="27"/>
      <c r="S72" s="27"/>
      <c r="T72" s="4"/>
      <c r="U72" s="4"/>
      <c r="V72" s="4"/>
      <c r="W72" s="4"/>
      <c r="X72" s="4"/>
      <c r="Y72" s="4"/>
      <c r="Z72" s="4"/>
    </row>
    <row r="73" spans="1:26" ht="15" customHeight="1" x14ac:dyDescent="0.2">
      <c r="A73" s="4"/>
      <c r="B73" s="436"/>
      <c r="C73" s="436"/>
      <c r="D73" s="24"/>
      <c r="E73" s="26"/>
      <c r="F73" s="26"/>
      <c r="G73" s="26"/>
      <c r="H73" s="26"/>
      <c r="I73" s="26"/>
      <c r="J73" s="27"/>
      <c r="K73" s="28"/>
      <c r="L73" s="28"/>
      <c r="M73" s="27"/>
      <c r="N73" s="27"/>
      <c r="O73" s="27"/>
      <c r="P73" s="27"/>
      <c r="Q73" s="27"/>
      <c r="R73" s="27"/>
      <c r="S73" s="27"/>
      <c r="T73" s="4"/>
      <c r="U73" s="4"/>
      <c r="V73" s="4"/>
      <c r="W73" s="4"/>
      <c r="X73" s="4"/>
      <c r="Y73" s="4"/>
      <c r="Z73" s="4"/>
    </row>
    <row r="74" spans="1:26" ht="15" customHeight="1" x14ac:dyDescent="0.2">
      <c r="A74" s="4"/>
      <c r="B74" s="436"/>
      <c r="C74" s="436"/>
      <c r="D74" s="24"/>
      <c r="E74" s="26"/>
      <c r="F74" s="26">
        <v>0.1</v>
      </c>
      <c r="G74" s="26"/>
      <c r="H74" s="26"/>
      <c r="I74" s="26"/>
      <c r="J74" s="22"/>
      <c r="K74" s="22"/>
      <c r="L74" s="22"/>
      <c r="M74" s="22"/>
      <c r="N74" s="22"/>
      <c r="O74" s="22"/>
      <c r="P74" s="27">
        <f t="shared" ref="P74:S74" si="15">IF(+$J72=P$11,+$K72*$L72*$M72,0)</f>
        <v>0</v>
      </c>
      <c r="Q74" s="27">
        <f t="shared" si="15"/>
        <v>0</v>
      </c>
      <c r="R74" s="27">
        <f t="shared" si="15"/>
        <v>0</v>
      </c>
      <c r="S74" s="27">
        <f t="shared" si="15"/>
        <v>0</v>
      </c>
      <c r="T74" s="4"/>
      <c r="U74" s="4"/>
      <c r="V74" s="4"/>
      <c r="W74" s="4"/>
      <c r="X74" s="4"/>
      <c r="Y74" s="4"/>
      <c r="Z74" s="4"/>
    </row>
    <row r="75" spans="1:26" ht="15" customHeight="1" x14ac:dyDescent="0.2">
      <c r="A75" s="4"/>
      <c r="B75" s="461"/>
      <c r="C75" s="461"/>
      <c r="D75" s="32"/>
      <c r="E75" s="33"/>
      <c r="F75" s="33"/>
      <c r="G75" s="33"/>
      <c r="H75" s="33"/>
      <c r="I75" s="33"/>
      <c r="J75" s="34"/>
      <c r="K75" s="35"/>
      <c r="L75" s="35"/>
      <c r="M75" s="36"/>
      <c r="N75" s="36"/>
      <c r="O75" s="36"/>
      <c r="P75" s="36"/>
      <c r="Q75" s="36"/>
      <c r="R75" s="36"/>
      <c r="S75" s="36"/>
      <c r="T75" s="4"/>
      <c r="U75" s="4"/>
      <c r="V75" s="4"/>
      <c r="W75" s="4"/>
      <c r="X75" s="4"/>
      <c r="Y75" s="4"/>
      <c r="Z75" s="4"/>
    </row>
    <row r="76" spans="1:26" ht="15" customHeight="1" x14ac:dyDescent="0.2">
      <c r="A76" s="4"/>
      <c r="B76" s="435" t="s">
        <v>69</v>
      </c>
      <c r="C76" s="435" t="s">
        <v>59</v>
      </c>
      <c r="D76" s="29"/>
      <c r="E76" s="30"/>
      <c r="F76" s="30"/>
      <c r="G76" s="30"/>
      <c r="H76" s="30"/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4"/>
      <c r="U76" s="4"/>
      <c r="V76" s="4"/>
      <c r="W76" s="4"/>
      <c r="X76" s="4"/>
      <c r="Y76" s="4"/>
      <c r="Z76" s="4"/>
    </row>
    <row r="77" spans="1:26" ht="15" customHeight="1" x14ac:dyDescent="0.2">
      <c r="A77" s="4"/>
      <c r="B77" s="436"/>
      <c r="C77" s="436"/>
      <c r="D77" s="24"/>
      <c r="E77" s="26"/>
      <c r="F77" s="26">
        <v>1.67</v>
      </c>
      <c r="G77" s="4"/>
      <c r="H77" s="37">
        <v>0.1</v>
      </c>
      <c r="I77" s="26"/>
      <c r="J77" s="22"/>
      <c r="K77" s="27"/>
      <c r="L77" s="27"/>
      <c r="M77" s="27"/>
      <c r="N77" s="27"/>
      <c r="O77" s="27"/>
      <c r="P77" s="27"/>
      <c r="Q77" s="27"/>
      <c r="R77" s="27"/>
      <c r="S77" s="27"/>
      <c r="T77" s="4"/>
      <c r="U77" s="4"/>
      <c r="V77" s="4"/>
      <c r="W77" s="4"/>
      <c r="X77" s="4"/>
      <c r="Y77" s="4"/>
      <c r="Z77" s="4"/>
    </row>
    <row r="78" spans="1:26" ht="15" customHeight="1" x14ac:dyDescent="0.2">
      <c r="A78" s="4"/>
      <c r="B78" s="436"/>
      <c r="C78" s="436"/>
      <c r="D78" s="24"/>
      <c r="E78" s="4"/>
      <c r="F78" s="26"/>
      <c r="G78" s="4"/>
      <c r="H78" s="26"/>
      <c r="I78" s="26"/>
      <c r="J78" s="27" t="s">
        <v>60</v>
      </c>
      <c r="K78" s="28">
        <v>1</v>
      </c>
      <c r="L78" s="28">
        <v>11</v>
      </c>
      <c r="M78" s="27">
        <f>+E79+H77+F77</f>
        <v>1.8699999999999999</v>
      </c>
      <c r="N78" s="27">
        <f t="shared" ref="N78:S78" si="16">IF(+$J78=N$11,+$K78*$L78*$M78,0)</f>
        <v>0</v>
      </c>
      <c r="O78" s="27">
        <f t="shared" si="16"/>
        <v>20.57</v>
      </c>
      <c r="P78" s="27">
        <f t="shared" si="16"/>
        <v>0</v>
      </c>
      <c r="Q78" s="27">
        <f t="shared" si="16"/>
        <v>0</v>
      </c>
      <c r="R78" s="27">
        <f t="shared" si="16"/>
        <v>0</v>
      </c>
      <c r="S78" s="27">
        <f t="shared" si="16"/>
        <v>0</v>
      </c>
      <c r="T78" s="4"/>
      <c r="U78" s="4"/>
      <c r="V78" s="4"/>
      <c r="W78" s="4"/>
      <c r="X78" s="4"/>
      <c r="Y78" s="4"/>
      <c r="Z78" s="4"/>
    </row>
    <row r="79" spans="1:26" ht="15" customHeight="1" x14ac:dyDescent="0.2">
      <c r="A79" s="4"/>
      <c r="B79" s="436"/>
      <c r="C79" s="436"/>
      <c r="D79" s="24"/>
      <c r="E79" s="26">
        <v>0.1</v>
      </c>
      <c r="F79" s="4"/>
      <c r="G79" s="4"/>
      <c r="H79" s="26"/>
      <c r="I79" s="26"/>
      <c r="J79" s="22"/>
      <c r="K79" s="28"/>
      <c r="L79" s="28"/>
      <c r="M79" s="27"/>
      <c r="N79" s="27"/>
      <c r="O79" s="27"/>
      <c r="P79" s="27"/>
      <c r="Q79" s="27"/>
      <c r="R79" s="27"/>
      <c r="S79" s="27"/>
      <c r="T79" s="4"/>
      <c r="U79" s="4"/>
      <c r="V79" s="4"/>
      <c r="W79" s="4"/>
      <c r="X79" s="4"/>
      <c r="Y79" s="4"/>
      <c r="Z79" s="4"/>
    </row>
    <row r="80" spans="1:26" ht="15" customHeight="1" x14ac:dyDescent="0.2">
      <c r="A80" s="4"/>
      <c r="B80" s="436"/>
      <c r="C80" s="436"/>
      <c r="D80" s="24"/>
      <c r="E80" s="26"/>
      <c r="F80" s="26"/>
      <c r="G80" s="26"/>
      <c r="H80" s="26"/>
      <c r="I80" s="26"/>
      <c r="J80" s="22"/>
      <c r="K80" s="28"/>
      <c r="L80" s="28"/>
      <c r="M80" s="27"/>
      <c r="N80" s="27"/>
      <c r="O80" s="27"/>
      <c r="P80" s="27"/>
      <c r="Q80" s="27"/>
      <c r="R80" s="27"/>
      <c r="S80" s="27"/>
      <c r="T80" s="4"/>
      <c r="U80" s="4"/>
      <c r="V80" s="4"/>
      <c r="W80" s="4"/>
      <c r="X80" s="4"/>
      <c r="Y80" s="4"/>
      <c r="Z80" s="4"/>
    </row>
    <row r="81" spans="1:26" ht="15" customHeight="1" x14ac:dyDescent="0.2">
      <c r="A81" s="4"/>
      <c r="B81" s="436"/>
      <c r="C81" s="462" t="s">
        <v>61</v>
      </c>
      <c r="D81" s="29"/>
      <c r="E81" s="30"/>
      <c r="F81" s="30"/>
      <c r="G81" s="30"/>
      <c r="H81" s="30"/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4"/>
      <c r="U81" s="4"/>
      <c r="V81" s="4"/>
      <c r="W81" s="4"/>
      <c r="X81" s="4"/>
      <c r="Y81" s="4"/>
      <c r="Z81" s="4"/>
    </row>
    <row r="82" spans="1:26" ht="15" customHeight="1" x14ac:dyDescent="0.2">
      <c r="A82" s="4"/>
      <c r="B82" s="436"/>
      <c r="C82" s="436"/>
      <c r="D82" s="24"/>
      <c r="E82" s="26"/>
      <c r="F82" s="26"/>
      <c r="G82" s="26"/>
      <c r="H82" s="26"/>
      <c r="I82" s="26"/>
      <c r="J82" s="22"/>
      <c r="K82" s="27"/>
      <c r="L82" s="27"/>
      <c r="M82" s="27"/>
      <c r="N82" s="27"/>
      <c r="O82" s="27"/>
      <c r="P82" s="27"/>
      <c r="Q82" s="27"/>
      <c r="R82" s="27"/>
      <c r="S82" s="27"/>
      <c r="T82" s="4"/>
      <c r="U82" s="4"/>
      <c r="V82" s="4"/>
      <c r="W82" s="4"/>
      <c r="X82" s="4"/>
      <c r="Y82" s="4"/>
      <c r="Z82" s="4"/>
    </row>
    <row r="83" spans="1:26" ht="15" customHeight="1" x14ac:dyDescent="0.2">
      <c r="A83" s="4"/>
      <c r="B83" s="436"/>
      <c r="C83" s="436"/>
      <c r="D83" s="24"/>
      <c r="E83" s="26"/>
      <c r="F83" s="26">
        <v>2.2000000000000002</v>
      </c>
      <c r="G83" s="4"/>
      <c r="H83" s="4"/>
      <c r="I83" s="26"/>
      <c r="J83" s="27" t="s">
        <v>60</v>
      </c>
      <c r="K83" s="28">
        <v>1</v>
      </c>
      <c r="L83" s="28">
        <v>9</v>
      </c>
      <c r="M83" s="27">
        <f>+F83</f>
        <v>2.2000000000000002</v>
      </c>
      <c r="N83" s="27">
        <f t="shared" ref="N83:O83" si="17">IF(+$J83=N$11,+$K83*$L83*$M83,0)</f>
        <v>0</v>
      </c>
      <c r="O83" s="27">
        <f t="shared" si="17"/>
        <v>19.8</v>
      </c>
      <c r="P83" s="27"/>
      <c r="Q83" s="27"/>
      <c r="R83" s="27"/>
      <c r="S83" s="27"/>
      <c r="T83" s="4"/>
      <c r="U83" s="4"/>
      <c r="V83" s="4"/>
      <c r="W83" s="4"/>
      <c r="X83" s="4"/>
      <c r="Y83" s="4"/>
      <c r="Z83" s="4"/>
    </row>
    <row r="84" spans="1:26" ht="15" customHeight="1" x14ac:dyDescent="0.2">
      <c r="A84" s="4"/>
      <c r="B84" s="461"/>
      <c r="C84" s="461"/>
      <c r="D84" s="32"/>
      <c r="E84" s="33"/>
      <c r="F84" s="33"/>
      <c r="G84" s="33"/>
      <c r="H84" s="33"/>
      <c r="I84" s="33"/>
      <c r="J84" s="34"/>
      <c r="K84" s="35"/>
      <c r="L84" s="35"/>
      <c r="M84" s="36"/>
      <c r="N84" s="36"/>
      <c r="O84" s="36"/>
      <c r="P84" s="36"/>
      <c r="Q84" s="36"/>
      <c r="R84" s="36"/>
      <c r="S84" s="36"/>
      <c r="T84" s="4"/>
      <c r="U84" s="4"/>
      <c r="V84" s="4"/>
      <c r="W84" s="4"/>
      <c r="X84" s="4"/>
      <c r="Y84" s="4"/>
      <c r="Z84" s="4"/>
    </row>
    <row r="85" spans="1:26" ht="15" customHeight="1" x14ac:dyDescent="0.2">
      <c r="A85" s="4"/>
      <c r="B85" s="435" t="s">
        <v>70</v>
      </c>
      <c r="C85" s="435" t="s">
        <v>59</v>
      </c>
      <c r="D85" s="29"/>
      <c r="E85" s="30"/>
      <c r="F85" s="30"/>
      <c r="G85" s="30"/>
      <c r="H85" s="30"/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4"/>
      <c r="U85" s="4"/>
      <c r="V85" s="4"/>
      <c r="W85" s="4"/>
      <c r="X85" s="4"/>
      <c r="Y85" s="4"/>
      <c r="Z85" s="4"/>
    </row>
    <row r="86" spans="1:26" ht="15" customHeight="1" x14ac:dyDescent="0.2">
      <c r="A86" s="4"/>
      <c r="B86" s="436"/>
      <c r="C86" s="436"/>
      <c r="D86" s="24"/>
      <c r="E86" s="26"/>
      <c r="F86" s="4"/>
      <c r="G86" s="4"/>
      <c r="H86" s="37"/>
      <c r="I86" s="26"/>
      <c r="J86" s="22"/>
      <c r="K86" s="27"/>
      <c r="L86" s="27"/>
      <c r="M86" s="27"/>
      <c r="N86" s="27"/>
      <c r="O86" s="27"/>
      <c r="P86" s="27"/>
      <c r="Q86" s="27"/>
      <c r="R86" s="27"/>
      <c r="S86" s="27"/>
      <c r="T86" s="4"/>
      <c r="U86" s="4"/>
      <c r="V86" s="4"/>
      <c r="W86" s="4"/>
      <c r="X86" s="4"/>
      <c r="Y86" s="4"/>
      <c r="Z86" s="4"/>
    </row>
    <row r="87" spans="1:26" ht="15" customHeight="1" x14ac:dyDescent="0.2">
      <c r="A87" s="4"/>
      <c r="B87" s="436"/>
      <c r="C87" s="436"/>
      <c r="D87" s="24"/>
      <c r="E87" s="4"/>
      <c r="F87" s="26">
        <v>1.9</v>
      </c>
      <c r="G87" s="4"/>
      <c r="H87" s="26"/>
      <c r="I87" s="26"/>
      <c r="J87" s="27" t="s">
        <v>60</v>
      </c>
      <c r="K87" s="28">
        <v>1</v>
      </c>
      <c r="L87" s="28">
        <v>11</v>
      </c>
      <c r="M87" s="27">
        <f>+F87</f>
        <v>1.9</v>
      </c>
      <c r="N87" s="27">
        <f t="shared" ref="N87:S87" si="18">IF(+$J87=N$11,+$K87*$L87*$M87,0)</f>
        <v>0</v>
      </c>
      <c r="O87" s="27">
        <f t="shared" si="18"/>
        <v>20.9</v>
      </c>
      <c r="P87" s="27">
        <f t="shared" si="18"/>
        <v>0</v>
      </c>
      <c r="Q87" s="27">
        <f t="shared" si="18"/>
        <v>0</v>
      </c>
      <c r="R87" s="27">
        <f t="shared" si="18"/>
        <v>0</v>
      </c>
      <c r="S87" s="27">
        <f t="shared" si="18"/>
        <v>0</v>
      </c>
      <c r="T87" s="4"/>
      <c r="U87" s="4"/>
      <c r="V87" s="4"/>
      <c r="W87" s="4"/>
      <c r="X87" s="4"/>
      <c r="Y87" s="4"/>
      <c r="Z87" s="4"/>
    </row>
    <row r="88" spans="1:26" ht="15" customHeight="1" x14ac:dyDescent="0.2">
      <c r="A88" s="4"/>
      <c r="B88" s="436"/>
      <c r="C88" s="436"/>
      <c r="D88" s="24"/>
      <c r="E88" s="26"/>
      <c r="F88" s="26"/>
      <c r="G88" s="26"/>
      <c r="H88" s="26"/>
      <c r="I88" s="26"/>
      <c r="J88" s="22"/>
      <c r="K88" s="28"/>
      <c r="L88" s="28"/>
      <c r="M88" s="27"/>
      <c r="N88" s="27"/>
      <c r="O88" s="27"/>
      <c r="P88" s="27"/>
      <c r="Q88" s="27"/>
      <c r="R88" s="27"/>
      <c r="S88" s="27"/>
      <c r="T88" s="4"/>
      <c r="U88" s="4"/>
      <c r="V88" s="4"/>
      <c r="W88" s="4"/>
      <c r="X88" s="4"/>
      <c r="Y88" s="4"/>
      <c r="Z88" s="4"/>
    </row>
    <row r="89" spans="1:26" ht="15" customHeight="1" x14ac:dyDescent="0.2">
      <c r="A89" s="4"/>
      <c r="B89" s="436"/>
      <c r="C89" s="462" t="s">
        <v>61</v>
      </c>
      <c r="D89" s="29"/>
      <c r="E89" s="30"/>
      <c r="F89" s="30"/>
      <c r="G89" s="30"/>
      <c r="H89" s="30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4"/>
      <c r="U89" s="4"/>
      <c r="V89" s="4"/>
      <c r="W89" s="4"/>
      <c r="X89" s="4"/>
      <c r="Y89" s="4"/>
      <c r="Z89" s="4"/>
    </row>
    <row r="90" spans="1:26" ht="15" customHeight="1" x14ac:dyDescent="0.2">
      <c r="A90" s="4"/>
      <c r="B90" s="436"/>
      <c r="C90" s="436"/>
      <c r="D90" s="24"/>
      <c r="E90" s="26"/>
      <c r="F90" s="26"/>
      <c r="G90" s="26"/>
      <c r="H90" s="26"/>
      <c r="I90" s="26"/>
      <c r="J90" s="22"/>
      <c r="K90" s="27"/>
      <c r="L90" s="27"/>
      <c r="M90" s="27"/>
      <c r="N90" s="27"/>
      <c r="O90" s="27"/>
      <c r="P90" s="27"/>
      <c r="Q90" s="27"/>
      <c r="R90" s="27"/>
      <c r="S90" s="27"/>
      <c r="T90" s="4"/>
      <c r="U90" s="4"/>
      <c r="V90" s="4"/>
      <c r="W90" s="4"/>
      <c r="X90" s="4"/>
      <c r="Y90" s="4"/>
      <c r="Z90" s="4"/>
    </row>
    <row r="91" spans="1:26" ht="15" customHeight="1" x14ac:dyDescent="0.2">
      <c r="A91" s="4"/>
      <c r="B91" s="436"/>
      <c r="C91" s="436"/>
      <c r="D91" s="24"/>
      <c r="E91" s="26"/>
      <c r="F91" s="26">
        <v>2.2000000000000002</v>
      </c>
      <c r="G91" s="4"/>
      <c r="H91" s="4"/>
      <c r="I91" s="26"/>
      <c r="J91" s="27" t="s">
        <v>60</v>
      </c>
      <c r="K91" s="28">
        <v>1</v>
      </c>
      <c r="L91" s="28">
        <v>9</v>
      </c>
      <c r="M91" s="27">
        <f>+F91</f>
        <v>2.2000000000000002</v>
      </c>
      <c r="N91" s="27">
        <f t="shared" ref="N91:O91" si="19">IF(+$J91=N$11,+$K91*$L91*$M91,0)</f>
        <v>0</v>
      </c>
      <c r="O91" s="27">
        <f t="shared" si="19"/>
        <v>19.8</v>
      </c>
      <c r="P91" s="27"/>
      <c r="Q91" s="27"/>
      <c r="R91" s="27"/>
      <c r="S91" s="27"/>
      <c r="T91" s="4"/>
      <c r="U91" s="4"/>
      <c r="V91" s="4"/>
      <c r="W91" s="4"/>
      <c r="X91" s="4"/>
      <c r="Y91" s="4"/>
      <c r="Z91" s="4"/>
    </row>
    <row r="92" spans="1:26" ht="15" customHeight="1" x14ac:dyDescent="0.2">
      <c r="A92" s="4"/>
      <c r="B92" s="461"/>
      <c r="C92" s="461"/>
      <c r="D92" s="32"/>
      <c r="E92" s="33"/>
      <c r="F92" s="33"/>
      <c r="G92" s="33"/>
      <c r="H92" s="33"/>
      <c r="I92" s="33"/>
      <c r="J92" s="34"/>
      <c r="K92" s="35"/>
      <c r="L92" s="35"/>
      <c r="M92" s="36"/>
      <c r="N92" s="36"/>
      <c r="O92" s="36"/>
      <c r="P92" s="36"/>
      <c r="Q92" s="36"/>
      <c r="R92" s="36"/>
      <c r="S92" s="36"/>
      <c r="T92" s="4"/>
      <c r="U92" s="4"/>
      <c r="V92" s="4"/>
      <c r="W92" s="4"/>
      <c r="X92" s="4"/>
      <c r="Y92" s="4"/>
      <c r="Z92" s="4"/>
    </row>
    <row r="93" spans="1:26" ht="15" customHeight="1" x14ac:dyDescent="0.2">
      <c r="A93" s="4"/>
      <c r="B93" s="435" t="s">
        <v>23</v>
      </c>
      <c r="C93" s="435" t="s">
        <v>59</v>
      </c>
      <c r="D93" s="29"/>
      <c r="E93" s="30"/>
      <c r="F93" s="30"/>
      <c r="G93" s="30"/>
      <c r="H93" s="30"/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4"/>
      <c r="U93" s="4"/>
      <c r="V93" s="4"/>
      <c r="W93" s="4"/>
      <c r="X93" s="4"/>
      <c r="Y93" s="4"/>
      <c r="Z93" s="4"/>
    </row>
    <row r="94" spans="1:26" ht="15" customHeight="1" x14ac:dyDescent="0.2">
      <c r="A94" s="4"/>
      <c r="B94" s="436"/>
      <c r="C94" s="436"/>
      <c r="D94" s="24"/>
      <c r="E94" s="26"/>
      <c r="F94" s="26"/>
      <c r="G94" s="26"/>
      <c r="H94" s="26"/>
      <c r="I94" s="26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4"/>
      <c r="U94" s="4"/>
      <c r="V94" s="4"/>
      <c r="W94" s="4"/>
      <c r="X94" s="4"/>
      <c r="Y94" s="4"/>
      <c r="Z94" s="4"/>
    </row>
    <row r="95" spans="1:26" ht="15" customHeight="1" x14ac:dyDescent="0.2">
      <c r="A95" s="4"/>
      <c r="B95" s="436"/>
      <c r="C95" s="436"/>
      <c r="D95" s="24"/>
      <c r="E95" s="26"/>
      <c r="F95" s="4"/>
      <c r="G95" s="4"/>
      <c r="H95" s="37"/>
      <c r="I95" s="26"/>
      <c r="J95" s="22"/>
      <c r="K95" s="27"/>
      <c r="L95" s="27"/>
      <c r="M95" s="27"/>
      <c r="N95" s="27"/>
      <c r="O95" s="27"/>
      <c r="P95" s="27"/>
      <c r="Q95" s="27"/>
      <c r="R95" s="27"/>
      <c r="S95" s="27"/>
      <c r="T95" s="4"/>
      <c r="U95" s="4"/>
      <c r="V95" s="4"/>
      <c r="W95" s="4"/>
      <c r="X95" s="4"/>
      <c r="Y95" s="4"/>
      <c r="Z95" s="4"/>
    </row>
    <row r="96" spans="1:26" ht="15" customHeight="1" x14ac:dyDescent="0.2">
      <c r="A96" s="4"/>
      <c r="B96" s="436"/>
      <c r="C96" s="436"/>
      <c r="D96" s="24"/>
      <c r="E96" s="4"/>
      <c r="F96" s="4"/>
      <c r="G96" s="4"/>
      <c r="H96" s="26"/>
      <c r="I96" s="26"/>
      <c r="J96" s="27" t="s">
        <v>60</v>
      </c>
      <c r="K96" s="28">
        <v>1</v>
      </c>
      <c r="L96" s="28">
        <v>2</v>
      </c>
      <c r="M96" s="27">
        <f>+G97</f>
        <v>3.25</v>
      </c>
      <c r="N96" s="27">
        <f t="shared" ref="N96:S96" si="20">IF(+$J96=N$11,+$K96*$L96*$M96,0)</f>
        <v>0</v>
      </c>
      <c r="O96" s="27">
        <f t="shared" si="20"/>
        <v>6.5</v>
      </c>
      <c r="P96" s="27">
        <f t="shared" si="20"/>
        <v>0</v>
      </c>
      <c r="Q96" s="27">
        <f t="shared" si="20"/>
        <v>0</v>
      </c>
      <c r="R96" s="27">
        <f t="shared" si="20"/>
        <v>0</v>
      </c>
      <c r="S96" s="27">
        <f t="shared" si="20"/>
        <v>0</v>
      </c>
      <c r="T96" s="4"/>
      <c r="U96" s="4"/>
      <c r="V96" s="4"/>
      <c r="W96" s="4"/>
      <c r="X96" s="4"/>
      <c r="Y96" s="4"/>
      <c r="Z96" s="4"/>
    </row>
    <row r="97" spans="1:26" ht="15" customHeight="1" x14ac:dyDescent="0.2">
      <c r="A97" s="4"/>
      <c r="B97" s="436"/>
      <c r="C97" s="436"/>
      <c r="D97" s="24"/>
      <c r="E97" s="4"/>
      <c r="F97" s="26"/>
      <c r="G97" s="26">
        <v>3.25</v>
      </c>
      <c r="H97" s="4"/>
      <c r="I97" s="26"/>
      <c r="J97" s="27"/>
      <c r="K97" s="28"/>
      <c r="L97" s="28"/>
      <c r="M97" s="27"/>
      <c r="N97" s="27"/>
      <c r="O97" s="27"/>
      <c r="P97" s="27"/>
      <c r="Q97" s="27"/>
      <c r="R97" s="27"/>
      <c r="S97" s="27"/>
      <c r="T97" s="4"/>
      <c r="U97" s="4"/>
      <c r="V97" s="4"/>
      <c r="W97" s="4"/>
      <c r="X97" s="4"/>
      <c r="Y97" s="4"/>
      <c r="Z97" s="4"/>
    </row>
    <row r="98" spans="1:26" ht="15" customHeight="1" x14ac:dyDescent="0.2">
      <c r="A98" s="4"/>
      <c r="B98" s="436"/>
      <c r="C98" s="436"/>
      <c r="D98" s="24"/>
      <c r="E98" s="4"/>
      <c r="F98" s="26"/>
      <c r="G98" s="4"/>
      <c r="H98" s="26"/>
      <c r="I98" s="26"/>
      <c r="J98" s="27"/>
      <c r="K98" s="28"/>
      <c r="L98" s="28"/>
      <c r="M98" s="27"/>
      <c r="N98" s="27"/>
      <c r="O98" s="27"/>
      <c r="P98" s="27"/>
      <c r="Q98" s="27"/>
      <c r="R98" s="27"/>
      <c r="S98" s="27"/>
      <c r="T98" s="4"/>
      <c r="U98" s="4"/>
      <c r="V98" s="4"/>
      <c r="W98" s="4"/>
      <c r="X98" s="4"/>
      <c r="Y98" s="4"/>
      <c r="Z98" s="4"/>
    </row>
    <row r="99" spans="1:26" ht="15" customHeight="1" x14ac:dyDescent="0.2">
      <c r="A99" s="4"/>
      <c r="B99" s="436"/>
      <c r="C99" s="436"/>
      <c r="D99" s="24"/>
      <c r="E99" s="26"/>
      <c r="F99" s="26"/>
      <c r="G99" s="26"/>
      <c r="H99" s="26"/>
      <c r="I99" s="26"/>
      <c r="J99" s="22"/>
      <c r="K99" s="28"/>
      <c r="L99" s="28"/>
      <c r="M99" s="27"/>
      <c r="N99" s="27"/>
      <c r="O99" s="27"/>
      <c r="P99" s="27"/>
      <c r="Q99" s="27"/>
      <c r="R99" s="27"/>
      <c r="S99" s="27"/>
      <c r="T99" s="4"/>
      <c r="U99" s="4"/>
      <c r="V99" s="4"/>
      <c r="W99" s="4"/>
      <c r="X99" s="4"/>
      <c r="Y99" s="4"/>
      <c r="Z99" s="4"/>
    </row>
    <row r="100" spans="1:26" ht="15" customHeight="1" x14ac:dyDescent="0.2">
      <c r="A100" s="4"/>
      <c r="B100" s="436"/>
      <c r="C100" s="462" t="s">
        <v>61</v>
      </c>
      <c r="D100" s="29"/>
      <c r="E100" s="30"/>
      <c r="F100" s="30"/>
      <c r="G100" s="30"/>
      <c r="H100" s="30"/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4"/>
      <c r="U100" s="4"/>
      <c r="V100" s="4"/>
      <c r="W100" s="4"/>
      <c r="X100" s="4"/>
      <c r="Y100" s="4"/>
      <c r="Z100" s="4"/>
    </row>
    <row r="101" spans="1:26" ht="15" customHeight="1" x14ac:dyDescent="0.2">
      <c r="A101" s="4"/>
      <c r="B101" s="436"/>
      <c r="C101" s="436"/>
      <c r="D101" s="24"/>
      <c r="E101" s="26"/>
      <c r="F101" s="26"/>
      <c r="G101" s="26"/>
      <c r="H101" s="26"/>
      <c r="I101" s="26"/>
      <c r="J101" s="22"/>
      <c r="K101" s="27"/>
      <c r="L101" s="27"/>
      <c r="M101" s="27"/>
      <c r="N101" s="27"/>
      <c r="O101" s="27"/>
      <c r="P101" s="27"/>
      <c r="Q101" s="27"/>
      <c r="R101" s="27"/>
      <c r="S101" s="27"/>
      <c r="T101" s="4"/>
      <c r="U101" s="4"/>
      <c r="V101" s="4"/>
      <c r="W101" s="4"/>
      <c r="X101" s="4"/>
      <c r="Y101" s="4"/>
      <c r="Z101" s="4"/>
    </row>
    <row r="102" spans="1:26" ht="15" customHeight="1" x14ac:dyDescent="0.2">
      <c r="A102" s="4"/>
      <c r="B102" s="436"/>
      <c r="C102" s="436"/>
      <c r="D102" s="24"/>
      <c r="E102" s="26"/>
      <c r="F102" s="26">
        <v>0.55000000000000004</v>
      </c>
      <c r="G102" s="4"/>
      <c r="H102" s="4"/>
      <c r="I102" s="26"/>
      <c r="J102" s="27" t="s">
        <v>60</v>
      </c>
      <c r="K102" s="28">
        <v>1</v>
      </c>
      <c r="L102" s="28">
        <v>9</v>
      </c>
      <c r="M102" s="27">
        <f>+F102</f>
        <v>0.55000000000000004</v>
      </c>
      <c r="N102" s="27">
        <f t="shared" ref="N102:O102" si="21">IF(+$J102=N$11,+$K102*$L102*$M102,0)</f>
        <v>0</v>
      </c>
      <c r="O102" s="27">
        <f t="shared" si="21"/>
        <v>4.95</v>
      </c>
      <c r="P102" s="27"/>
      <c r="Q102" s="27"/>
      <c r="R102" s="27"/>
      <c r="S102" s="27"/>
      <c r="T102" s="4"/>
      <c r="U102" s="4"/>
      <c r="V102" s="4"/>
      <c r="W102" s="4"/>
      <c r="X102" s="4"/>
      <c r="Y102" s="4"/>
      <c r="Z102" s="4"/>
    </row>
    <row r="103" spans="1:26" ht="15" customHeight="1" x14ac:dyDescent="0.2">
      <c r="A103" s="4"/>
      <c r="B103" s="461"/>
      <c r="C103" s="461"/>
      <c r="D103" s="32"/>
      <c r="E103" s="33"/>
      <c r="F103" s="33"/>
      <c r="G103" s="33"/>
      <c r="H103" s="33"/>
      <c r="I103" s="33"/>
      <c r="J103" s="34"/>
      <c r="K103" s="35"/>
      <c r="L103" s="35"/>
      <c r="M103" s="36"/>
      <c r="N103" s="36"/>
      <c r="O103" s="36"/>
      <c r="P103" s="36"/>
      <c r="Q103" s="36"/>
      <c r="R103" s="36"/>
      <c r="S103" s="36"/>
      <c r="T103" s="4"/>
      <c r="U103" s="4"/>
      <c r="V103" s="4"/>
      <c r="W103" s="4"/>
      <c r="X103" s="4"/>
      <c r="Y103" s="4"/>
      <c r="Z103" s="4"/>
    </row>
    <row r="104" spans="1:26" ht="15" customHeight="1" x14ac:dyDescent="0.2">
      <c r="A104" s="4"/>
      <c r="B104" s="435" t="s">
        <v>32</v>
      </c>
      <c r="C104" s="435" t="s">
        <v>59</v>
      </c>
      <c r="D104" s="29"/>
      <c r="E104" s="30"/>
      <c r="F104" s="30"/>
      <c r="G104" s="30"/>
      <c r="H104" s="30"/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4"/>
      <c r="U104" s="4"/>
      <c r="V104" s="4"/>
      <c r="W104" s="4"/>
      <c r="X104" s="4"/>
      <c r="Y104" s="4"/>
      <c r="Z104" s="4"/>
    </row>
    <row r="105" spans="1:26" ht="15" customHeight="1" x14ac:dyDescent="0.2">
      <c r="A105" s="4"/>
      <c r="B105" s="436"/>
      <c r="C105" s="436"/>
      <c r="D105" s="24"/>
      <c r="E105" s="26"/>
      <c r="F105" s="4"/>
      <c r="G105" s="4"/>
      <c r="H105" s="37"/>
      <c r="I105" s="26"/>
      <c r="J105" s="22"/>
      <c r="K105" s="27"/>
      <c r="L105" s="27"/>
      <c r="M105" s="27"/>
      <c r="N105" s="27"/>
      <c r="O105" s="27"/>
      <c r="P105" s="27"/>
      <c r="Q105" s="27"/>
      <c r="R105" s="27"/>
      <c r="S105" s="27"/>
      <c r="T105" s="4"/>
      <c r="U105" s="4"/>
      <c r="V105" s="4"/>
      <c r="W105" s="4"/>
      <c r="X105" s="4"/>
      <c r="Y105" s="4"/>
      <c r="Z105" s="4"/>
    </row>
    <row r="106" spans="1:26" ht="15" customHeight="1" x14ac:dyDescent="0.2">
      <c r="A106" s="4"/>
      <c r="B106" s="436"/>
      <c r="C106" s="436"/>
      <c r="D106" s="24"/>
      <c r="E106" s="4"/>
      <c r="F106" s="26">
        <v>0.81</v>
      </c>
      <c r="G106" s="4"/>
      <c r="H106" s="26"/>
      <c r="I106" s="26"/>
      <c r="J106" s="27" t="s">
        <v>63</v>
      </c>
      <c r="K106" s="28">
        <v>2</v>
      </c>
      <c r="L106" s="28">
        <v>7</v>
      </c>
      <c r="M106" s="27">
        <f>+F106</f>
        <v>0.81</v>
      </c>
      <c r="N106" s="27">
        <f t="shared" ref="N106:S106" si="22">IF(+$J106=N$11,+$K106*$L106*$M106,0)</f>
        <v>11.34</v>
      </c>
      <c r="O106" s="27">
        <f t="shared" si="22"/>
        <v>0</v>
      </c>
      <c r="P106" s="27">
        <f t="shared" si="22"/>
        <v>0</v>
      </c>
      <c r="Q106" s="27">
        <f t="shared" si="22"/>
        <v>0</v>
      </c>
      <c r="R106" s="27">
        <f t="shared" si="22"/>
        <v>0</v>
      </c>
      <c r="S106" s="27">
        <f t="shared" si="22"/>
        <v>0</v>
      </c>
      <c r="T106" s="4"/>
      <c r="U106" s="4"/>
      <c r="V106" s="4"/>
      <c r="W106" s="4"/>
      <c r="X106" s="4"/>
      <c r="Y106" s="4"/>
      <c r="Z106" s="4"/>
    </row>
    <row r="107" spans="1:26" ht="15" customHeight="1" x14ac:dyDescent="0.2">
      <c r="A107" s="4"/>
      <c r="B107" s="436"/>
      <c r="C107" s="436"/>
      <c r="D107" s="24"/>
      <c r="E107" s="26"/>
      <c r="F107" s="26"/>
      <c r="G107" s="26"/>
      <c r="H107" s="26"/>
      <c r="I107" s="26"/>
      <c r="J107" s="22"/>
      <c r="K107" s="28"/>
      <c r="L107" s="28"/>
      <c r="M107" s="27"/>
      <c r="N107" s="27"/>
      <c r="O107" s="27"/>
      <c r="P107" s="27"/>
      <c r="Q107" s="27"/>
      <c r="R107" s="27"/>
      <c r="S107" s="27"/>
      <c r="T107" s="4"/>
      <c r="U107" s="4"/>
      <c r="V107" s="4"/>
      <c r="W107" s="4"/>
      <c r="X107" s="4"/>
      <c r="Y107" s="4"/>
      <c r="Z107" s="4"/>
    </row>
    <row r="108" spans="1:26" ht="15" customHeight="1" x14ac:dyDescent="0.2">
      <c r="A108" s="4"/>
      <c r="B108" s="436"/>
      <c r="C108" s="462" t="s">
        <v>61</v>
      </c>
      <c r="D108" s="29"/>
      <c r="E108" s="30"/>
      <c r="F108" s="30"/>
      <c r="G108" s="30"/>
      <c r="H108" s="30"/>
      <c r="I108" s="30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4"/>
      <c r="U108" s="4"/>
      <c r="V108" s="4"/>
      <c r="W108" s="4"/>
      <c r="X108" s="4"/>
      <c r="Y108" s="4"/>
      <c r="Z108" s="4"/>
    </row>
    <row r="109" spans="1:26" ht="15" customHeight="1" x14ac:dyDescent="0.2">
      <c r="A109" s="4"/>
      <c r="B109" s="436"/>
      <c r="C109" s="436"/>
      <c r="D109" s="24"/>
      <c r="E109" s="26"/>
      <c r="F109" s="26"/>
      <c r="G109" s="26"/>
      <c r="H109" s="26"/>
      <c r="I109" s="26"/>
      <c r="J109" s="22"/>
      <c r="K109" s="27"/>
      <c r="L109" s="27"/>
      <c r="M109" s="27"/>
      <c r="N109" s="27"/>
      <c r="O109" s="27"/>
      <c r="P109" s="27"/>
      <c r="Q109" s="27"/>
      <c r="R109" s="27"/>
      <c r="S109" s="27"/>
      <c r="T109" s="4"/>
      <c r="U109" s="4"/>
      <c r="V109" s="4"/>
      <c r="W109" s="4"/>
      <c r="X109" s="4"/>
      <c r="Y109" s="4"/>
      <c r="Z109" s="4"/>
    </row>
    <row r="110" spans="1:26" ht="15" customHeight="1" x14ac:dyDescent="0.2">
      <c r="A110" s="4"/>
      <c r="B110" s="436"/>
      <c r="C110" s="436"/>
      <c r="D110" s="24"/>
      <c r="E110" s="26"/>
      <c r="F110" s="26">
        <v>0.61</v>
      </c>
      <c r="G110" s="4"/>
      <c r="H110" s="4"/>
      <c r="I110" s="26"/>
      <c r="J110" s="27" t="s">
        <v>63</v>
      </c>
      <c r="K110" s="28">
        <v>2</v>
      </c>
      <c r="L110" s="28">
        <v>8</v>
      </c>
      <c r="M110" s="27">
        <f>+F110</f>
        <v>0.61</v>
      </c>
      <c r="N110" s="27">
        <f t="shared" ref="N110:O110" si="23">IF(+$J110=N$11,+$K110*$L110*$M110,0)</f>
        <v>9.76</v>
      </c>
      <c r="O110" s="27">
        <f t="shared" si="23"/>
        <v>0</v>
      </c>
      <c r="P110" s="27"/>
      <c r="Q110" s="27"/>
      <c r="R110" s="27"/>
      <c r="S110" s="27"/>
      <c r="T110" s="4"/>
      <c r="U110" s="4"/>
      <c r="V110" s="4"/>
      <c r="W110" s="4"/>
      <c r="X110" s="4"/>
      <c r="Y110" s="4"/>
      <c r="Z110" s="4"/>
    </row>
    <row r="111" spans="1:26" ht="15" customHeight="1" x14ac:dyDescent="0.2">
      <c r="A111" s="4"/>
      <c r="B111" s="461"/>
      <c r="C111" s="461"/>
      <c r="D111" s="32"/>
      <c r="E111" s="33"/>
      <c r="F111" s="33"/>
      <c r="G111" s="33"/>
      <c r="H111" s="33"/>
      <c r="I111" s="33"/>
      <c r="J111" s="34"/>
      <c r="K111" s="35"/>
      <c r="L111" s="35"/>
      <c r="M111" s="36"/>
      <c r="N111" s="36"/>
      <c r="O111" s="36"/>
      <c r="P111" s="36"/>
      <c r="Q111" s="36"/>
      <c r="R111" s="36"/>
      <c r="S111" s="36"/>
      <c r="T111" s="4"/>
      <c r="U111" s="4"/>
      <c r="V111" s="4"/>
      <c r="W111" s="4"/>
      <c r="X111" s="4"/>
      <c r="Y111" s="4"/>
      <c r="Z111" s="4"/>
    </row>
    <row r="112" spans="1:26" ht="15" customHeight="1" x14ac:dyDescent="0.2">
      <c r="A112" s="4"/>
      <c r="B112" s="4"/>
      <c r="C112" s="4"/>
      <c r="D112" s="26"/>
      <c r="E112" s="38"/>
      <c r="F112" s="38"/>
      <c r="G112" s="38"/>
      <c r="H112" s="38"/>
      <c r="I112" s="38"/>
      <c r="J112" s="464" t="s">
        <v>71</v>
      </c>
      <c r="K112" s="465"/>
      <c r="L112" s="465"/>
      <c r="M112" s="466"/>
      <c r="N112" s="36">
        <f t="shared" ref="N112:S112" si="24">SUM(N13:N111)</f>
        <v>126.50000000000001</v>
      </c>
      <c r="O112" s="36">
        <f t="shared" si="24"/>
        <v>218.92</v>
      </c>
      <c r="P112" s="36">
        <f t="shared" si="24"/>
        <v>0</v>
      </c>
      <c r="Q112" s="36">
        <f t="shared" si="24"/>
        <v>0</v>
      </c>
      <c r="R112" s="36">
        <f t="shared" si="24"/>
        <v>0</v>
      </c>
      <c r="S112" s="36">
        <f t="shared" si="24"/>
        <v>0</v>
      </c>
      <c r="T112" s="4"/>
      <c r="U112" s="4"/>
      <c r="V112" s="4"/>
      <c r="W112" s="4"/>
      <c r="X112" s="4"/>
      <c r="Y112" s="4"/>
      <c r="Z112" s="4"/>
    </row>
    <row r="113" spans="1:26" ht="15" customHeight="1" x14ac:dyDescent="0.2">
      <c r="A113" s="4"/>
      <c r="B113" s="4"/>
      <c r="C113" s="4"/>
      <c r="D113" s="26"/>
      <c r="E113" s="38"/>
      <c r="F113" s="38"/>
      <c r="G113" s="38"/>
      <c r="H113" s="38"/>
      <c r="I113" s="38"/>
      <c r="J113" s="467" t="s">
        <v>72</v>
      </c>
      <c r="K113" s="459"/>
      <c r="L113" s="459"/>
      <c r="M113" s="460"/>
      <c r="N113" s="39">
        <v>0.222</v>
      </c>
      <c r="O113" s="39">
        <v>0.56000000000000005</v>
      </c>
      <c r="P113" s="39">
        <v>0.99399999999999999</v>
      </c>
      <c r="Q113" s="39">
        <v>1.552</v>
      </c>
      <c r="R113" s="39">
        <v>2.2349999999999999</v>
      </c>
      <c r="S113" s="39">
        <v>3.9729999999999999</v>
      </c>
      <c r="T113" s="4"/>
      <c r="U113" s="4"/>
      <c r="V113" s="4"/>
      <c r="W113" s="4"/>
      <c r="X113" s="4"/>
      <c r="Y113" s="4"/>
      <c r="Z113" s="4"/>
    </row>
    <row r="114" spans="1:26" ht="15" customHeight="1" x14ac:dyDescent="0.2">
      <c r="A114" s="4"/>
      <c r="B114" s="4"/>
      <c r="C114" s="4"/>
      <c r="D114" s="26"/>
      <c r="E114" s="38"/>
      <c r="F114" s="38"/>
      <c r="G114" s="38"/>
      <c r="H114" s="38"/>
      <c r="I114" s="38"/>
      <c r="J114" s="467" t="s">
        <v>73</v>
      </c>
      <c r="K114" s="459"/>
      <c r="L114" s="459"/>
      <c r="M114" s="460"/>
      <c r="N114" s="40">
        <f t="shared" ref="N114:Q114" si="25">+N112*N113</f>
        <v>28.083000000000002</v>
      </c>
      <c r="O114" s="40">
        <f t="shared" si="25"/>
        <v>122.59520000000001</v>
      </c>
      <c r="P114" s="40">
        <f t="shared" si="25"/>
        <v>0</v>
      </c>
      <c r="Q114" s="40">
        <f t="shared" si="25"/>
        <v>0</v>
      </c>
      <c r="R114" s="40">
        <f t="shared" ref="R114:S114" si="26">+R113*R112</f>
        <v>0</v>
      </c>
      <c r="S114" s="40">
        <f t="shared" si="26"/>
        <v>0</v>
      </c>
      <c r="T114" s="4"/>
      <c r="U114" s="4"/>
      <c r="V114" s="4"/>
      <c r="W114" s="4"/>
      <c r="X114" s="4"/>
      <c r="Y114" s="4"/>
      <c r="Z114" s="4"/>
    </row>
    <row r="115" spans="1:26" ht="15" customHeight="1" x14ac:dyDescent="0.2">
      <c r="A115" s="4"/>
      <c r="B115" s="4"/>
      <c r="C115" s="4"/>
      <c r="D115" s="26"/>
      <c r="E115" s="26"/>
      <c r="F115" s="26"/>
      <c r="G115" s="26"/>
      <c r="H115" s="26"/>
      <c r="I115" s="26"/>
      <c r="J115" s="468" t="s">
        <v>74</v>
      </c>
      <c r="K115" s="459"/>
      <c r="L115" s="459"/>
      <c r="M115" s="460"/>
      <c r="N115" s="469">
        <f>SUM(N114:S114)</f>
        <v>150.6782</v>
      </c>
      <c r="O115" s="459"/>
      <c r="P115" s="459"/>
      <c r="Q115" s="459"/>
      <c r="R115" s="459"/>
      <c r="S115" s="460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J112:M112"/>
    <mergeCell ref="J113:M113"/>
    <mergeCell ref="J114:M114"/>
    <mergeCell ref="J115:M115"/>
    <mergeCell ref="N115:S115"/>
    <mergeCell ref="B104:B111"/>
    <mergeCell ref="C28:C35"/>
    <mergeCell ref="C36:C42"/>
    <mergeCell ref="B43:B52"/>
    <mergeCell ref="C43:C47"/>
    <mergeCell ref="C48:C52"/>
    <mergeCell ref="C53:C57"/>
    <mergeCell ref="C58:C63"/>
    <mergeCell ref="C100:C103"/>
    <mergeCell ref="C104:C107"/>
    <mergeCell ref="C108:C111"/>
    <mergeCell ref="C64:C68"/>
    <mergeCell ref="C69:C75"/>
    <mergeCell ref="C76:C80"/>
    <mergeCell ref="B93:B103"/>
    <mergeCell ref="C81:C84"/>
    <mergeCell ref="C89:C92"/>
    <mergeCell ref="B12:B27"/>
    <mergeCell ref="C12:C15"/>
    <mergeCell ref="C16:C19"/>
    <mergeCell ref="C20:C27"/>
    <mergeCell ref="B28:B42"/>
    <mergeCell ref="C93:C99"/>
    <mergeCell ref="B2:S2"/>
    <mergeCell ref="B4:S4"/>
    <mergeCell ref="B6:S6"/>
    <mergeCell ref="B10:C11"/>
    <mergeCell ref="D10:I11"/>
    <mergeCell ref="J10:J11"/>
    <mergeCell ref="K10:K11"/>
    <mergeCell ref="N10:S10"/>
    <mergeCell ref="L10:L11"/>
    <mergeCell ref="M10:M11"/>
    <mergeCell ref="C85:C88"/>
    <mergeCell ref="B53:B63"/>
    <mergeCell ref="B64:B75"/>
    <mergeCell ref="B76:B84"/>
    <mergeCell ref="B85:B92"/>
  </mergeCells>
  <dataValidations count="1">
    <dataValidation type="list" allowBlank="1" showErrorMessage="1" sqref="J13 J17 J23:J25 J31:J33 J39:J40 J45 J51 J55 J61 J66 J72:J73 J78 J83 J87 J91 J96:J98 J102 J106 J110" xr:uid="{00000000-0002-0000-0100-000000000000}">
      <formula1>$N$11:$S$11</formula1>
    </dataValidation>
  </dataValidations>
  <printOptions horizontalCentered="1"/>
  <pageMargins left="0.59055118110236227" right="0.59055118110236227" top="0.78740157480314965" bottom="0.78740157480314965" header="0" footer="0"/>
  <pageSetup paperSize="9" scale="70" orientation="portrait"/>
  <headerFooter>
    <oddFooter>&amp;R&amp;A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EB80-1C94-4C73-A9F3-1848BBEE67E6}">
  <sheetPr>
    <pageSetUpPr fitToPage="1"/>
  </sheetPr>
  <dimension ref="A1:M263"/>
  <sheetViews>
    <sheetView view="pageBreakPreview" zoomScaleNormal="96" zoomScaleSheetLayoutView="100" workbookViewId="0">
      <selection activeCell="M239" sqref="M239"/>
    </sheetView>
  </sheetViews>
  <sheetFormatPr baseColWidth="10" defaultColWidth="9.33203125" defaultRowHeight="11.25" x14ac:dyDescent="0.2"/>
  <cols>
    <col min="1" max="1" width="4" style="314" customWidth="1"/>
    <col min="2" max="2" width="13" style="314" customWidth="1"/>
    <col min="3" max="3" width="85" style="314" customWidth="1"/>
    <col min="4" max="5" width="9.33203125" style="314"/>
    <col min="6" max="6" width="9.83203125" style="314" customWidth="1"/>
    <col min="7" max="10" width="9.33203125" style="314"/>
    <col min="11" max="11" width="3.33203125" style="314" customWidth="1"/>
    <col min="12" max="12" width="12.1640625" style="314" customWidth="1"/>
    <col min="13" max="16384" width="9.33203125" style="306"/>
  </cols>
  <sheetData>
    <row r="1" spans="1:12" ht="14.25" thickBot="1" x14ac:dyDescent="0.25">
      <c r="A1" s="302"/>
      <c r="B1" s="303"/>
      <c r="C1" s="304"/>
      <c r="D1" s="305"/>
      <c r="E1" s="305"/>
      <c r="F1" s="305"/>
      <c r="G1" s="305"/>
      <c r="H1" s="305"/>
      <c r="I1" s="305"/>
      <c r="J1" s="305"/>
      <c r="K1" s="302"/>
      <c r="L1" s="302"/>
    </row>
    <row r="2" spans="1:12" ht="18.75" x14ac:dyDescent="0.2">
      <c r="A2" s="302"/>
      <c r="B2" s="474" t="s">
        <v>207</v>
      </c>
      <c r="C2" s="475"/>
      <c r="D2" s="475"/>
      <c r="E2" s="475"/>
      <c r="F2" s="475"/>
      <c r="G2" s="475"/>
      <c r="H2" s="475"/>
      <c r="I2" s="475"/>
      <c r="J2" s="476"/>
      <c r="K2" s="302"/>
      <c r="L2" s="302"/>
    </row>
    <row r="3" spans="1:12" ht="33" customHeight="1" x14ac:dyDescent="0.2">
      <c r="A3" s="302"/>
      <c r="B3" s="477" t="s">
        <v>352</v>
      </c>
      <c r="C3" s="478"/>
      <c r="D3" s="478"/>
      <c r="E3" s="478"/>
      <c r="F3" s="478"/>
      <c r="G3" s="478"/>
      <c r="H3" s="478"/>
      <c r="I3" s="478"/>
      <c r="J3" s="479"/>
      <c r="K3" s="302"/>
      <c r="L3" s="302"/>
    </row>
    <row r="4" spans="1:12" ht="15.75" thickBot="1" x14ac:dyDescent="0.25">
      <c r="A4" s="302"/>
      <c r="B4" s="480" t="s">
        <v>377</v>
      </c>
      <c r="C4" s="481"/>
      <c r="D4" s="481"/>
      <c r="E4" s="481"/>
      <c r="F4" s="481"/>
      <c r="G4" s="481"/>
      <c r="H4" s="481"/>
      <c r="I4" s="481"/>
      <c r="J4" s="482"/>
      <c r="K4" s="302"/>
      <c r="L4" s="302"/>
    </row>
    <row r="5" spans="1:12" ht="12" x14ac:dyDescent="0.2">
      <c r="A5" s="302"/>
      <c r="B5" s="307"/>
      <c r="C5" s="308"/>
      <c r="D5" s="309"/>
      <c r="E5" s="310"/>
      <c r="F5" s="310"/>
      <c r="G5" s="310"/>
      <c r="H5" s="310"/>
      <c r="I5" s="310"/>
      <c r="J5" s="311"/>
      <c r="K5" s="302"/>
      <c r="L5" s="302"/>
    </row>
    <row r="6" spans="1:12" ht="13.5" x14ac:dyDescent="0.2">
      <c r="A6" s="302"/>
      <c r="B6" s="312"/>
      <c r="C6" s="483"/>
      <c r="D6" s="484"/>
      <c r="E6" s="484"/>
      <c r="F6" s="484"/>
      <c r="G6" s="484"/>
      <c r="H6" s="484"/>
      <c r="I6" s="485"/>
      <c r="J6" s="313"/>
      <c r="K6" s="302"/>
      <c r="L6" s="302"/>
    </row>
    <row r="7" spans="1:12" ht="13.5" x14ac:dyDescent="0.2">
      <c r="A7" s="302"/>
      <c r="B7" s="312"/>
      <c r="C7" s="486"/>
      <c r="D7" s="487"/>
      <c r="E7" s="487"/>
      <c r="F7" s="487"/>
      <c r="G7" s="487"/>
      <c r="H7" s="487"/>
      <c r="I7" s="488"/>
      <c r="J7" s="313"/>
      <c r="K7" s="302"/>
      <c r="L7" s="302"/>
    </row>
    <row r="8" spans="1:12" ht="13.5" x14ac:dyDescent="0.2">
      <c r="A8" s="302"/>
      <c r="B8" s="312"/>
      <c r="C8" s="486"/>
      <c r="D8" s="487"/>
      <c r="E8" s="487"/>
      <c r="F8" s="487"/>
      <c r="G8" s="487"/>
      <c r="H8" s="487"/>
      <c r="I8" s="488"/>
      <c r="J8" s="313"/>
      <c r="K8" s="302"/>
      <c r="L8" s="302"/>
    </row>
    <row r="9" spans="1:12" ht="13.5" x14ac:dyDescent="0.2">
      <c r="A9" s="302"/>
      <c r="B9" s="312"/>
      <c r="C9" s="486"/>
      <c r="D9" s="487"/>
      <c r="E9" s="487"/>
      <c r="F9" s="487"/>
      <c r="G9" s="487"/>
      <c r="H9" s="487"/>
      <c r="I9" s="488"/>
      <c r="J9" s="313"/>
      <c r="K9" s="302"/>
      <c r="L9" s="302"/>
    </row>
    <row r="10" spans="1:12" ht="13.5" x14ac:dyDescent="0.2">
      <c r="A10" s="302"/>
      <c r="B10" s="312"/>
      <c r="C10" s="486"/>
      <c r="D10" s="487"/>
      <c r="E10" s="487"/>
      <c r="F10" s="487"/>
      <c r="G10" s="487"/>
      <c r="H10" s="487"/>
      <c r="I10" s="488"/>
      <c r="J10" s="313"/>
      <c r="K10" s="302"/>
      <c r="L10" s="302"/>
    </row>
    <row r="11" spans="1:12" ht="13.5" x14ac:dyDescent="0.2">
      <c r="A11" s="302"/>
      <c r="B11" s="312"/>
      <c r="C11" s="486"/>
      <c r="D11" s="487"/>
      <c r="E11" s="487"/>
      <c r="F11" s="487"/>
      <c r="G11" s="487"/>
      <c r="H11" s="487"/>
      <c r="I11" s="488"/>
      <c r="J11" s="313"/>
      <c r="K11" s="302"/>
      <c r="L11" s="302"/>
    </row>
    <row r="12" spans="1:12" ht="13.5" x14ac:dyDescent="0.2">
      <c r="A12" s="302"/>
      <c r="B12" s="312"/>
      <c r="C12" s="486"/>
      <c r="D12" s="487"/>
      <c r="E12" s="487"/>
      <c r="F12" s="487"/>
      <c r="G12" s="487"/>
      <c r="H12" s="487"/>
      <c r="I12" s="488"/>
      <c r="J12" s="313"/>
      <c r="K12" s="302"/>
      <c r="L12" s="302"/>
    </row>
    <row r="13" spans="1:12" ht="13.5" x14ac:dyDescent="0.2">
      <c r="A13" s="302"/>
      <c r="B13" s="312"/>
      <c r="C13" s="486"/>
      <c r="D13" s="487"/>
      <c r="E13" s="487"/>
      <c r="F13" s="487"/>
      <c r="G13" s="487"/>
      <c r="H13" s="487"/>
      <c r="I13" s="488"/>
      <c r="J13" s="313"/>
      <c r="K13" s="302"/>
      <c r="L13" s="302"/>
    </row>
    <row r="14" spans="1:12" ht="13.5" x14ac:dyDescent="0.2">
      <c r="A14" s="302"/>
      <c r="B14" s="312"/>
      <c r="C14" s="486"/>
      <c r="D14" s="487"/>
      <c r="E14" s="487"/>
      <c r="F14" s="487"/>
      <c r="G14" s="487"/>
      <c r="H14" s="487"/>
      <c r="I14" s="488"/>
      <c r="J14" s="313"/>
      <c r="K14" s="302"/>
      <c r="L14" s="302"/>
    </row>
    <row r="15" spans="1:12" ht="13.5" x14ac:dyDescent="0.2">
      <c r="A15" s="302"/>
      <c r="B15" s="312"/>
      <c r="C15" s="486"/>
      <c r="D15" s="487"/>
      <c r="E15" s="487"/>
      <c r="F15" s="487"/>
      <c r="G15" s="487"/>
      <c r="H15" s="487"/>
      <c r="I15" s="488"/>
      <c r="J15" s="313"/>
      <c r="K15" s="302"/>
      <c r="L15" s="302"/>
    </row>
    <row r="16" spans="1:12" ht="44.25" customHeight="1" x14ac:dyDescent="0.2">
      <c r="A16" s="302"/>
      <c r="B16" s="312"/>
      <c r="C16" s="486"/>
      <c r="D16" s="487"/>
      <c r="E16" s="487"/>
      <c r="F16" s="487"/>
      <c r="G16" s="487"/>
      <c r="H16" s="487"/>
      <c r="I16" s="488"/>
      <c r="J16" s="313"/>
      <c r="K16" s="302"/>
      <c r="L16" s="302"/>
    </row>
    <row r="17" spans="1:12" ht="56.25" customHeight="1" x14ac:dyDescent="0.2">
      <c r="A17" s="302"/>
      <c r="B17" s="312"/>
      <c r="C17" s="489"/>
      <c r="D17" s="490"/>
      <c r="E17" s="490"/>
      <c r="F17" s="490"/>
      <c r="G17" s="490"/>
      <c r="H17" s="490"/>
      <c r="I17" s="491"/>
      <c r="J17" s="313"/>
      <c r="K17" s="302"/>
      <c r="L17" s="302"/>
    </row>
    <row r="18" spans="1:12" ht="13.5" x14ac:dyDescent="0.2">
      <c r="A18" s="302"/>
      <c r="B18" s="315"/>
      <c r="C18" s="316"/>
      <c r="D18" s="316"/>
      <c r="E18" s="317"/>
      <c r="F18" s="316"/>
      <c r="G18" s="316"/>
      <c r="H18" s="316"/>
      <c r="I18" s="316"/>
      <c r="J18" s="318"/>
      <c r="K18" s="302"/>
      <c r="L18" s="302"/>
    </row>
    <row r="19" spans="1:12" ht="13.5" x14ac:dyDescent="0.25">
      <c r="A19" s="302"/>
      <c r="B19" s="319" t="s">
        <v>1</v>
      </c>
      <c r="C19" s="320" t="s">
        <v>2</v>
      </c>
      <c r="D19" s="321" t="s">
        <v>3</v>
      </c>
      <c r="E19" s="321" t="s">
        <v>4</v>
      </c>
      <c r="F19" s="321" t="s">
        <v>5</v>
      </c>
      <c r="G19" s="321" t="s">
        <v>6</v>
      </c>
      <c r="H19" s="321" t="s">
        <v>7</v>
      </c>
      <c r="I19" s="321" t="s">
        <v>8</v>
      </c>
      <c r="J19" s="322" t="s">
        <v>9</v>
      </c>
      <c r="K19" s="302"/>
      <c r="L19" s="302"/>
    </row>
    <row r="20" spans="1:12" ht="13.5" x14ac:dyDescent="0.25">
      <c r="A20" s="302"/>
      <c r="B20" s="323" t="s">
        <v>386</v>
      </c>
      <c r="C20" s="324" t="s">
        <v>380</v>
      </c>
      <c r="D20" s="325"/>
      <c r="E20" s="326"/>
      <c r="F20" s="325"/>
      <c r="G20" s="326"/>
      <c r="H20" s="325"/>
      <c r="I20" s="326"/>
      <c r="J20" s="327"/>
      <c r="K20" s="302"/>
      <c r="L20" s="302"/>
    </row>
    <row r="21" spans="1:12" ht="13.5" x14ac:dyDescent="0.2">
      <c r="A21" s="302"/>
      <c r="B21" s="328" t="str">
        <f>$B$20 &amp; ".01"</f>
        <v>02.03.02.01</v>
      </c>
      <c r="C21" s="329" t="s">
        <v>13</v>
      </c>
      <c r="D21" s="330"/>
      <c r="E21" s="331">
        <f>'[6]UBS AH'!E30</f>
        <v>1</v>
      </c>
      <c r="F21" s="332"/>
      <c r="G21" s="333"/>
      <c r="H21" s="333"/>
      <c r="I21" s="333"/>
      <c r="J21" s="334"/>
      <c r="K21" s="302"/>
      <c r="L21" s="302"/>
    </row>
    <row r="22" spans="1:12" ht="13.5" x14ac:dyDescent="0.2">
      <c r="A22" s="302"/>
      <c r="B22" s="335" t="str">
        <f>$B$21 &amp; ".01"</f>
        <v>02.03.02.01.01</v>
      </c>
      <c r="C22" s="336" t="s">
        <v>353</v>
      </c>
      <c r="D22" s="337" t="s">
        <v>14</v>
      </c>
      <c r="E22" s="338"/>
      <c r="F22" s="333"/>
      <c r="G22" s="333"/>
      <c r="H22" s="333"/>
      <c r="I22" s="332">
        <f>+SUM(I23:I23)</f>
        <v>4.1500000000000004</v>
      </c>
      <c r="J22" s="339">
        <f>I22*E21</f>
        <v>4.1500000000000004</v>
      </c>
      <c r="K22" s="302"/>
      <c r="L22" s="302"/>
    </row>
    <row r="23" spans="1:12" ht="13.5" x14ac:dyDescent="0.2">
      <c r="A23" s="302"/>
      <c r="B23" s="335"/>
      <c r="C23" s="340"/>
      <c r="D23" s="330"/>
      <c r="E23" s="338">
        <v>1</v>
      </c>
      <c r="F23" s="333" t="s">
        <v>121</v>
      </c>
      <c r="G23" s="333">
        <v>4.1547999999999998</v>
      </c>
      <c r="H23" s="333"/>
      <c r="I23" s="333">
        <f t="shared" ref="I23" si="0">+ROUND(PRODUCT(E23:H23),2)</f>
        <v>4.1500000000000004</v>
      </c>
      <c r="J23" s="339"/>
      <c r="K23" s="302"/>
      <c r="L23" s="302"/>
    </row>
    <row r="24" spans="1:12" ht="13.5" x14ac:dyDescent="0.2">
      <c r="A24" s="302"/>
      <c r="B24" s="335"/>
      <c r="C24" s="336"/>
      <c r="D24" s="330"/>
      <c r="E24" s="338"/>
      <c r="F24" s="333"/>
      <c r="G24" s="333"/>
      <c r="H24" s="333"/>
      <c r="I24" s="333"/>
      <c r="J24" s="339"/>
      <c r="K24" s="302"/>
      <c r="L24" s="302"/>
    </row>
    <row r="25" spans="1:12" ht="13.5" x14ac:dyDescent="0.2">
      <c r="A25" s="302"/>
      <c r="B25" s="335" t="str">
        <f>$B$21 &amp; ".02"</f>
        <v>02.03.02.01.02</v>
      </c>
      <c r="C25" s="336" t="s">
        <v>218</v>
      </c>
      <c r="D25" s="337" t="s">
        <v>14</v>
      </c>
      <c r="E25" s="338"/>
      <c r="F25" s="333"/>
      <c r="G25" s="333"/>
      <c r="H25" s="333"/>
      <c r="I25" s="332">
        <f>+SUM(I26)</f>
        <v>4.1500000000000004</v>
      </c>
      <c r="J25" s="339">
        <f>I25*E21</f>
        <v>4.1500000000000004</v>
      </c>
      <c r="K25" s="302"/>
      <c r="L25" s="302"/>
    </row>
    <row r="26" spans="1:12" ht="13.5" x14ac:dyDescent="0.2">
      <c r="A26" s="302"/>
      <c r="B26" s="335"/>
      <c r="C26" s="340"/>
      <c r="D26" s="330"/>
      <c r="E26" s="338">
        <v>1</v>
      </c>
      <c r="F26" s="333" t="str">
        <f>F23</f>
        <v>area</v>
      </c>
      <c r="G26" s="333">
        <f>G23</f>
        <v>4.1547999999999998</v>
      </c>
      <c r="H26" s="333"/>
      <c r="I26" s="333">
        <f>+ROUND(PRODUCT(E26:H26),2)</f>
        <v>4.1500000000000004</v>
      </c>
      <c r="J26" s="339"/>
      <c r="K26" s="302"/>
      <c r="L26" s="302"/>
    </row>
    <row r="27" spans="1:12" ht="13.5" x14ac:dyDescent="0.2">
      <c r="A27" s="302"/>
      <c r="B27" s="335"/>
      <c r="C27" s="336"/>
      <c r="D27" s="330"/>
      <c r="E27" s="338"/>
      <c r="F27" s="333"/>
      <c r="G27" s="333"/>
      <c r="H27" s="333"/>
      <c r="I27" s="333"/>
      <c r="J27" s="339"/>
      <c r="K27" s="302"/>
      <c r="L27" s="302"/>
    </row>
    <row r="28" spans="1:12" ht="13.5" x14ac:dyDescent="0.2">
      <c r="A28" s="302"/>
      <c r="B28" s="335" t="str">
        <f>$B$21 &amp; ".03"</f>
        <v>02.03.02.01.03</v>
      </c>
      <c r="C28" s="336" t="s">
        <v>219</v>
      </c>
      <c r="D28" s="337" t="s">
        <v>14</v>
      </c>
      <c r="E28" s="338"/>
      <c r="F28" s="333"/>
      <c r="G28" s="333"/>
      <c r="H28" s="333"/>
      <c r="I28" s="332">
        <f>+SUM(I29)</f>
        <v>4.1500000000000004</v>
      </c>
      <c r="J28" s="339">
        <f>I28*E21</f>
        <v>4.1500000000000004</v>
      </c>
      <c r="K28" s="302"/>
      <c r="L28" s="302"/>
    </row>
    <row r="29" spans="1:12" ht="13.5" x14ac:dyDescent="0.2">
      <c r="A29" s="302"/>
      <c r="B29" s="335"/>
      <c r="C29" s="340"/>
      <c r="D29" s="330"/>
      <c r="E29" s="338">
        <v>1</v>
      </c>
      <c r="F29" s="333" t="str">
        <f>F26</f>
        <v>area</v>
      </c>
      <c r="G29" s="333">
        <f>G26</f>
        <v>4.1547999999999998</v>
      </c>
      <c r="H29" s="333"/>
      <c r="I29" s="333">
        <f>+ROUND(PRODUCT(E29:H29),2)</f>
        <v>4.1500000000000004</v>
      </c>
      <c r="J29" s="339"/>
      <c r="K29" s="302"/>
      <c r="L29" s="302"/>
    </row>
    <row r="30" spans="1:12" ht="13.5" x14ac:dyDescent="0.2">
      <c r="A30" s="302"/>
      <c r="B30" s="335"/>
      <c r="C30" s="336"/>
      <c r="D30" s="337"/>
      <c r="E30" s="338"/>
      <c r="F30" s="333"/>
      <c r="G30" s="333"/>
      <c r="H30" s="333"/>
      <c r="I30" s="332"/>
      <c r="J30" s="339"/>
      <c r="K30" s="302"/>
      <c r="L30" s="302"/>
    </row>
    <row r="31" spans="1:12" ht="13.5" x14ac:dyDescent="0.2">
      <c r="A31" s="302"/>
      <c r="B31" s="328" t="str">
        <f>$B$20 &amp; ".02"</f>
        <v>02.03.02.02</v>
      </c>
      <c r="C31" s="329" t="s">
        <v>19</v>
      </c>
      <c r="D31" s="337"/>
      <c r="E31" s="331">
        <f>E21</f>
        <v>1</v>
      </c>
      <c r="F31" s="333"/>
      <c r="G31" s="333"/>
      <c r="H31" s="333"/>
      <c r="I31" s="332"/>
      <c r="J31" s="339"/>
      <c r="K31" s="302"/>
      <c r="L31" s="302"/>
    </row>
    <row r="32" spans="1:12" s="341" customFormat="1" ht="13.5" x14ac:dyDescent="0.2">
      <c r="A32" s="302"/>
      <c r="B32" s="335" t="str">
        <f>$B$31 &amp; ".01"</f>
        <v>02.03.02.02.01</v>
      </c>
      <c r="C32" s="336" t="s">
        <v>20</v>
      </c>
      <c r="D32" s="337" t="s">
        <v>21</v>
      </c>
      <c r="E32" s="338"/>
      <c r="F32" s="333"/>
      <c r="G32" s="333"/>
      <c r="H32" s="333"/>
      <c r="I32" s="332">
        <f>+SUM(I33:I34)</f>
        <v>5.37</v>
      </c>
      <c r="J32" s="339">
        <f>I32*E21</f>
        <v>5.37</v>
      </c>
      <c r="K32" s="302"/>
      <c r="L32" s="302"/>
    </row>
    <row r="33" spans="1:12" ht="13.5" x14ac:dyDescent="0.2">
      <c r="A33" s="302"/>
      <c r="B33" s="335"/>
      <c r="C33" s="340" t="s">
        <v>333</v>
      </c>
      <c r="D33" s="337"/>
      <c r="E33" s="338">
        <v>1</v>
      </c>
      <c r="F33" s="333" t="str">
        <f>F29</f>
        <v>area</v>
      </c>
      <c r="G33" s="333">
        <v>1.55</v>
      </c>
      <c r="H33" s="333">
        <v>0.1</v>
      </c>
      <c r="I33" s="333">
        <f>+ROUND(PRODUCT(E33:H33),2)</f>
        <v>0.16</v>
      </c>
      <c r="J33" s="339"/>
      <c r="K33" s="302"/>
      <c r="L33" s="302"/>
    </row>
    <row r="34" spans="1:12" ht="13.5" x14ac:dyDescent="0.2">
      <c r="A34" s="302"/>
      <c r="B34" s="335"/>
      <c r="C34" s="340" t="s">
        <v>334</v>
      </c>
      <c r="D34" s="337"/>
      <c r="E34" s="338">
        <v>1</v>
      </c>
      <c r="F34" s="333" t="s">
        <v>335</v>
      </c>
      <c r="G34" s="333">
        <f>0.333333333333333*PI()*G37*(G36*G36+G35*G35+G36*G35)</f>
        <v>5.2073940268475596</v>
      </c>
      <c r="H34" s="333"/>
      <c r="I34" s="333">
        <f>+ROUND(PRODUCT(E34:H34),2)</f>
        <v>5.21</v>
      </c>
      <c r="J34" s="339"/>
      <c r="K34" s="302"/>
      <c r="L34" s="302"/>
    </row>
    <row r="35" spans="1:12" ht="13.5" x14ac:dyDescent="0.2">
      <c r="A35" s="302"/>
      <c r="B35" s="335"/>
      <c r="C35" s="340"/>
      <c r="D35" s="337"/>
      <c r="E35" s="338"/>
      <c r="F35" s="333" t="s">
        <v>336</v>
      </c>
      <c r="G35" s="333">
        <v>0.6</v>
      </c>
      <c r="H35" s="333"/>
      <c r="I35" s="333"/>
      <c r="J35" s="339"/>
      <c r="K35" s="302"/>
      <c r="L35" s="302"/>
    </row>
    <row r="36" spans="1:12" ht="13.5" x14ac:dyDescent="0.2">
      <c r="A36" s="302"/>
      <c r="B36" s="335"/>
      <c r="C36" s="340"/>
      <c r="D36" s="337"/>
      <c r="E36" s="338"/>
      <c r="F36" s="333" t="s">
        <v>337</v>
      </c>
      <c r="G36" s="333">
        <v>1.21</v>
      </c>
      <c r="H36" s="333"/>
      <c r="I36" s="333"/>
      <c r="J36" s="339"/>
      <c r="K36" s="302"/>
      <c r="L36" s="302"/>
    </row>
    <row r="37" spans="1:12" ht="13.5" x14ac:dyDescent="0.2">
      <c r="A37" s="302"/>
      <c r="B37" s="335"/>
      <c r="C37" s="340"/>
      <c r="D37" s="337"/>
      <c r="E37" s="338"/>
      <c r="F37" s="333" t="s">
        <v>338</v>
      </c>
      <c r="G37" s="333">
        <v>1.95</v>
      </c>
      <c r="H37" s="333"/>
      <c r="I37" s="333"/>
      <c r="J37" s="339"/>
      <c r="K37" s="302"/>
      <c r="L37" s="302">
        <f>1.5*2</f>
        <v>3</v>
      </c>
    </row>
    <row r="38" spans="1:12" ht="13.5" x14ac:dyDescent="0.2">
      <c r="A38" s="302"/>
      <c r="B38" s="335"/>
      <c r="C38" s="340"/>
      <c r="D38" s="337"/>
      <c r="E38" s="338"/>
      <c r="F38" s="333"/>
      <c r="G38" s="333"/>
      <c r="H38" s="333"/>
      <c r="I38" s="333"/>
      <c r="J38" s="339"/>
      <c r="K38" s="302"/>
      <c r="L38" s="302"/>
    </row>
    <row r="39" spans="1:12" ht="13.5" x14ac:dyDescent="0.2">
      <c r="A39" s="302"/>
      <c r="B39" s="335" t="str">
        <f>$B$31 &amp; ".02"</f>
        <v>02.03.02.02.02</v>
      </c>
      <c r="C39" s="336" t="s">
        <v>220</v>
      </c>
      <c r="D39" s="337" t="s">
        <v>14</v>
      </c>
      <c r="E39" s="338"/>
      <c r="F39" s="333"/>
      <c r="G39" s="333"/>
      <c r="H39" s="333"/>
      <c r="I39" s="332">
        <f>+SUM(I40)</f>
        <v>1.55</v>
      </c>
      <c r="J39" s="339">
        <f>I39*E21</f>
        <v>1.55</v>
      </c>
      <c r="K39" s="302"/>
      <c r="L39" s="302"/>
    </row>
    <row r="40" spans="1:12" ht="13.5" x14ac:dyDescent="0.2">
      <c r="A40" s="302"/>
      <c r="B40" s="335"/>
      <c r="C40" s="336"/>
      <c r="D40" s="337"/>
      <c r="E40" s="338">
        <v>1</v>
      </c>
      <c r="F40" s="333" t="str">
        <f>F33</f>
        <v>area</v>
      </c>
      <c r="G40" s="333">
        <f>G33</f>
        <v>1.55</v>
      </c>
      <c r="H40" s="333"/>
      <c r="I40" s="333">
        <f>+ROUND(PRODUCT(E40:H40),2)</f>
        <v>1.55</v>
      </c>
      <c r="J40" s="339"/>
      <c r="K40" s="302"/>
      <c r="L40" s="302"/>
    </row>
    <row r="41" spans="1:12" ht="13.5" x14ac:dyDescent="0.2">
      <c r="A41" s="302"/>
      <c r="B41" s="335"/>
      <c r="C41" s="336"/>
      <c r="D41" s="337"/>
      <c r="E41" s="338"/>
      <c r="F41" s="333"/>
      <c r="G41" s="333"/>
      <c r="H41" s="333"/>
      <c r="I41" s="332"/>
      <c r="J41" s="339"/>
      <c r="K41" s="302"/>
      <c r="L41" s="302"/>
    </row>
    <row r="42" spans="1:12" s="341" customFormat="1" ht="13.5" x14ac:dyDescent="0.2">
      <c r="A42" s="302"/>
      <c r="B42" s="335" t="str">
        <f>$B$31 &amp; ".03"</f>
        <v>02.03.02.02.03</v>
      </c>
      <c r="C42" s="336" t="s">
        <v>235</v>
      </c>
      <c r="D42" s="337" t="s">
        <v>21</v>
      </c>
      <c r="E42" s="338"/>
      <c r="F42" s="333"/>
      <c r="G42" s="333"/>
      <c r="H42" s="333"/>
      <c r="I42" s="332">
        <f>+SUM(I43:I45)</f>
        <v>2.8125</v>
      </c>
      <c r="J42" s="339">
        <f>I42*E21</f>
        <v>2.8125</v>
      </c>
      <c r="K42" s="302"/>
      <c r="L42" s="302"/>
    </row>
    <row r="43" spans="1:12" ht="13.5" x14ac:dyDescent="0.2">
      <c r="A43" s="302"/>
      <c r="B43" s="335"/>
      <c r="C43" s="340" t="s">
        <v>339</v>
      </c>
      <c r="D43" s="337"/>
      <c r="E43" s="338">
        <v>1</v>
      </c>
      <c r="F43" s="333" t="s">
        <v>335</v>
      </c>
      <c r="G43" s="333">
        <f>+I34</f>
        <v>5.21</v>
      </c>
      <c r="H43" s="333"/>
      <c r="I43" s="333">
        <f t="shared" ref="I43:I45" si="1">+PRODUCT(E43:H43)</f>
        <v>5.21</v>
      </c>
      <c r="J43" s="339"/>
      <c r="K43" s="302"/>
      <c r="L43" s="302"/>
    </row>
    <row r="44" spans="1:12" ht="13.5" x14ac:dyDescent="0.2">
      <c r="A44" s="302"/>
      <c r="B44" s="335"/>
      <c r="C44" s="340" t="s">
        <v>354</v>
      </c>
      <c r="D44" s="337"/>
      <c r="E44" s="338">
        <v>-1</v>
      </c>
      <c r="F44" s="333" t="s">
        <v>340</v>
      </c>
      <c r="G44" s="333">
        <v>1.1499999999999999</v>
      </c>
      <c r="H44" s="333">
        <v>1.95</v>
      </c>
      <c r="I44" s="333">
        <f t="shared" si="1"/>
        <v>-2.2424999999999997</v>
      </c>
      <c r="J44" s="339"/>
      <c r="K44" s="302"/>
      <c r="L44" s="302"/>
    </row>
    <row r="45" spans="1:12" ht="13.5" x14ac:dyDescent="0.2">
      <c r="A45" s="302"/>
      <c r="B45" s="335"/>
      <c r="C45" s="340" t="s">
        <v>355</v>
      </c>
      <c r="D45" s="337"/>
      <c r="E45" s="338">
        <v>-1</v>
      </c>
      <c r="F45" s="333" t="s">
        <v>340</v>
      </c>
      <c r="G45" s="333">
        <v>1.55</v>
      </c>
      <c r="H45" s="333">
        <v>0.1</v>
      </c>
      <c r="I45" s="333">
        <f t="shared" si="1"/>
        <v>-0.15500000000000003</v>
      </c>
      <c r="J45" s="339"/>
      <c r="K45" s="302"/>
      <c r="L45" s="302"/>
    </row>
    <row r="46" spans="1:12" ht="13.5" x14ac:dyDescent="0.2">
      <c r="A46" s="302"/>
      <c r="B46" s="335"/>
      <c r="C46" s="340"/>
      <c r="D46" s="337"/>
      <c r="E46" s="338"/>
      <c r="F46" s="333"/>
      <c r="G46" s="333"/>
      <c r="H46" s="333"/>
      <c r="I46" s="333"/>
      <c r="J46" s="339"/>
      <c r="K46" s="302"/>
      <c r="L46" s="302"/>
    </row>
    <row r="47" spans="1:12" s="341" customFormat="1" ht="13.5" x14ac:dyDescent="0.2">
      <c r="A47" s="302"/>
      <c r="B47" s="335" t="str">
        <f>$B$31 &amp; ".04"</f>
        <v>02.03.02.02.04</v>
      </c>
      <c r="C47" s="336" t="s">
        <v>393</v>
      </c>
      <c r="D47" s="337" t="s">
        <v>14</v>
      </c>
      <c r="E47" s="338"/>
      <c r="F47" s="333" t="s">
        <v>245</v>
      </c>
      <c r="G47" s="333"/>
      <c r="H47" s="333"/>
      <c r="I47" s="332">
        <f>+SUM(I48)</f>
        <v>3.2</v>
      </c>
      <c r="J47" s="339">
        <f>I47*E21</f>
        <v>3.2</v>
      </c>
      <c r="K47" s="302"/>
      <c r="L47" s="302"/>
    </row>
    <row r="48" spans="1:12" ht="13.5" x14ac:dyDescent="0.2">
      <c r="A48" s="302"/>
      <c r="B48" s="335"/>
      <c r="C48" s="336"/>
      <c r="D48" s="337"/>
      <c r="E48" s="338">
        <v>1</v>
      </c>
      <c r="F48" s="333">
        <v>1.25</v>
      </c>
      <c r="G48" s="333">
        <f>I32-I42</f>
        <v>2.5575000000000001</v>
      </c>
      <c r="H48" s="333"/>
      <c r="I48" s="333">
        <f>+ROUND(PRODUCT(E48:H48),2)</f>
        <v>3.2</v>
      </c>
      <c r="J48" s="339"/>
      <c r="K48" s="302"/>
      <c r="L48" s="302"/>
    </row>
    <row r="49" spans="1:12" ht="13.5" x14ac:dyDescent="0.2">
      <c r="A49" s="302"/>
      <c r="B49" s="335"/>
      <c r="C49" s="336"/>
      <c r="D49" s="337"/>
      <c r="E49" s="338"/>
      <c r="F49" s="333"/>
      <c r="G49" s="333"/>
      <c r="H49" s="333"/>
      <c r="I49" s="332"/>
      <c r="J49" s="339"/>
      <c r="K49" s="302"/>
      <c r="L49" s="302"/>
    </row>
    <row r="50" spans="1:12" ht="13.5" x14ac:dyDescent="0.2">
      <c r="A50" s="302"/>
      <c r="B50" s="328" t="str">
        <f>$B$20 &amp; ".03"</f>
        <v>02.03.02.03</v>
      </c>
      <c r="C50" s="329" t="s">
        <v>25</v>
      </c>
      <c r="D50" s="330"/>
      <c r="E50" s="331">
        <f>E31</f>
        <v>1</v>
      </c>
      <c r="F50" s="333"/>
      <c r="G50" s="333"/>
      <c r="H50" s="333"/>
      <c r="I50" s="332"/>
      <c r="J50" s="339"/>
      <c r="K50" s="302"/>
      <c r="L50" s="302"/>
    </row>
    <row r="51" spans="1:12" ht="13.5" x14ac:dyDescent="0.2">
      <c r="A51" s="302"/>
      <c r="B51" s="335" t="str">
        <f>$B$50 &amp; ".01"</f>
        <v>02.03.02.03.01</v>
      </c>
      <c r="C51" s="342" t="s">
        <v>28</v>
      </c>
      <c r="D51" s="337" t="s">
        <v>14</v>
      </c>
      <c r="E51" s="338"/>
      <c r="F51" s="333"/>
      <c r="G51" s="333"/>
      <c r="H51" s="333"/>
      <c r="I51" s="332">
        <f>+SUM(I52)</f>
        <v>4.1500000000000004</v>
      </c>
      <c r="J51" s="339">
        <f>I51*E50</f>
        <v>4.1500000000000004</v>
      </c>
      <c r="K51" s="302"/>
      <c r="L51" s="302"/>
    </row>
    <row r="52" spans="1:12" ht="13.5" x14ac:dyDescent="0.2">
      <c r="A52" s="302"/>
      <c r="B52" s="335"/>
      <c r="C52" s="336"/>
      <c r="D52" s="337"/>
      <c r="E52" s="338">
        <v>1</v>
      </c>
      <c r="F52" s="333" t="str">
        <f>F29</f>
        <v>area</v>
      </c>
      <c r="G52" s="333">
        <f>G29</f>
        <v>4.1547999999999998</v>
      </c>
      <c r="H52" s="333"/>
      <c r="I52" s="333">
        <f>+ROUND(PRODUCT(E52:H52),2)</f>
        <v>4.1500000000000004</v>
      </c>
      <c r="J52" s="339"/>
      <c r="K52" s="302"/>
      <c r="L52" s="302"/>
    </row>
    <row r="53" spans="1:12" ht="13.5" x14ac:dyDescent="0.2">
      <c r="A53" s="302"/>
      <c r="B53" s="335"/>
      <c r="C53" s="336"/>
      <c r="D53" s="337"/>
      <c r="E53" s="338"/>
      <c r="F53" s="333"/>
      <c r="G53" s="333"/>
      <c r="H53" s="333"/>
      <c r="I53" s="332"/>
      <c r="J53" s="339"/>
      <c r="K53" s="302"/>
      <c r="L53" s="302"/>
    </row>
    <row r="54" spans="1:12" ht="13.5" x14ac:dyDescent="0.2">
      <c r="A54" s="302"/>
      <c r="B54" s="328" t="str">
        <f>$B$20 &amp; ".04"</f>
        <v>02.03.02.04</v>
      </c>
      <c r="C54" s="329" t="s">
        <v>231</v>
      </c>
      <c r="D54" s="330"/>
      <c r="E54" s="331">
        <f>E21</f>
        <v>1</v>
      </c>
      <c r="F54" s="333"/>
      <c r="G54" s="333"/>
      <c r="H54" s="333"/>
      <c r="I54" s="332"/>
      <c r="J54" s="339"/>
      <c r="K54" s="302"/>
      <c r="L54" s="302"/>
    </row>
    <row r="55" spans="1:12" ht="13.5" x14ac:dyDescent="0.2">
      <c r="A55" s="302"/>
      <c r="B55" s="335" t="str">
        <f>$B$54 &amp; ".01"</f>
        <v>02.03.02.04.01</v>
      </c>
      <c r="C55" s="336" t="s">
        <v>256</v>
      </c>
      <c r="D55" s="337" t="s">
        <v>29</v>
      </c>
      <c r="E55" s="338">
        <v>1</v>
      </c>
      <c r="F55" s="333">
        <v>1.5</v>
      </c>
      <c r="G55" s="333"/>
      <c r="H55" s="333"/>
      <c r="I55" s="333">
        <f>+ROUND(PRODUCT(E55:H55),2)</f>
        <v>1.5</v>
      </c>
      <c r="J55" s="339">
        <f>I55*E54</f>
        <v>1.5</v>
      </c>
      <c r="K55" s="302"/>
      <c r="L55" s="302"/>
    </row>
    <row r="56" spans="1:12" ht="13.5" x14ac:dyDescent="0.2">
      <c r="A56" s="302"/>
      <c r="B56" s="335"/>
      <c r="C56" s="336"/>
      <c r="D56" s="337"/>
      <c r="E56" s="338"/>
      <c r="F56" s="333"/>
      <c r="G56" s="333"/>
      <c r="H56" s="333"/>
      <c r="I56" s="333"/>
      <c r="J56" s="339"/>
      <c r="K56" s="302"/>
      <c r="L56" s="302"/>
    </row>
    <row r="57" spans="1:12" ht="13.5" x14ac:dyDescent="0.2">
      <c r="A57" s="302"/>
      <c r="B57" s="335" t="str">
        <f>$B$54 &amp; ".02"</f>
        <v>02.03.02.04.02</v>
      </c>
      <c r="C57" s="336" t="s">
        <v>232</v>
      </c>
      <c r="D57" s="337" t="s">
        <v>35</v>
      </c>
      <c r="E57" s="338">
        <v>1</v>
      </c>
      <c r="F57" s="333">
        <v>2</v>
      </c>
      <c r="G57" s="333"/>
      <c r="H57" s="333"/>
      <c r="I57" s="333">
        <f>+ROUND(PRODUCT(E57:H57),2)</f>
        <v>2</v>
      </c>
      <c r="J57" s="339">
        <f>I57*E54</f>
        <v>2</v>
      </c>
      <c r="K57" s="302"/>
      <c r="L57" s="302"/>
    </row>
    <row r="58" spans="1:12" ht="13.5" x14ac:dyDescent="0.2">
      <c r="A58" s="302"/>
      <c r="B58" s="335"/>
      <c r="C58" s="336"/>
      <c r="D58" s="337"/>
      <c r="E58" s="338"/>
      <c r="F58" s="333"/>
      <c r="G58" s="333"/>
      <c r="H58" s="333"/>
      <c r="I58" s="333"/>
      <c r="J58" s="339"/>
      <c r="K58" s="302"/>
      <c r="L58" s="302"/>
    </row>
    <row r="59" spans="1:12" ht="13.5" x14ac:dyDescent="0.2">
      <c r="A59" s="302"/>
      <c r="B59" s="328" t="str">
        <f>$B$20 &amp; ".05"</f>
        <v>02.03.02.05</v>
      </c>
      <c r="C59" s="329" t="s">
        <v>257</v>
      </c>
      <c r="D59" s="330"/>
      <c r="E59" s="331">
        <f>E54</f>
        <v>1</v>
      </c>
      <c r="F59" s="333"/>
      <c r="G59" s="333"/>
      <c r="H59" s="333"/>
      <c r="I59" s="332"/>
      <c r="J59" s="339"/>
      <c r="K59" s="302"/>
      <c r="L59" s="302"/>
    </row>
    <row r="60" spans="1:12" ht="13.5" x14ac:dyDescent="0.2">
      <c r="A60" s="302"/>
      <c r="B60" s="335" t="str">
        <f>$B$59 &amp; ".01"</f>
        <v>02.03.02.05.01</v>
      </c>
      <c r="C60" s="336" t="s">
        <v>326</v>
      </c>
      <c r="D60" s="337" t="s">
        <v>35</v>
      </c>
      <c r="E60" s="338">
        <v>1</v>
      </c>
      <c r="F60" s="333"/>
      <c r="G60" s="333"/>
      <c r="H60" s="333"/>
      <c r="I60" s="333">
        <f>+ROUND(PRODUCT(E60:H60),2)</f>
        <v>1</v>
      </c>
      <c r="J60" s="339">
        <f>I60*E59</f>
        <v>1</v>
      </c>
      <c r="K60" s="302"/>
      <c r="L60" s="302"/>
    </row>
    <row r="61" spans="1:12" ht="13.5" x14ac:dyDescent="0.2">
      <c r="A61" s="302"/>
      <c r="B61" s="335"/>
      <c r="C61" s="336"/>
      <c r="D61" s="337"/>
      <c r="E61" s="338"/>
      <c r="F61" s="333"/>
      <c r="G61" s="333"/>
      <c r="H61" s="333"/>
      <c r="I61" s="333"/>
      <c r="J61" s="339"/>
      <c r="K61" s="302"/>
      <c r="L61" s="302"/>
    </row>
    <row r="62" spans="1:12" ht="13.5" x14ac:dyDescent="0.25">
      <c r="A62" s="302"/>
      <c r="B62" s="323" t="s">
        <v>387</v>
      </c>
      <c r="C62" s="324" t="s">
        <v>267</v>
      </c>
      <c r="D62" s="325"/>
      <c r="E62" s="326"/>
      <c r="F62" s="325"/>
      <c r="G62" s="326"/>
      <c r="H62" s="325"/>
      <c r="I62" s="326"/>
      <c r="J62" s="327"/>
      <c r="K62" s="302"/>
      <c r="L62" s="302"/>
    </row>
    <row r="63" spans="1:12" ht="13.5" x14ac:dyDescent="0.2">
      <c r="A63" s="302"/>
      <c r="B63" s="328" t="str">
        <f>$B$62 &amp; ".01"</f>
        <v>02.03.03.01</v>
      </c>
      <c r="C63" s="329" t="s">
        <v>13</v>
      </c>
      <c r="D63" s="330"/>
      <c r="E63" s="331">
        <f>E59</f>
        <v>1</v>
      </c>
      <c r="F63" s="332"/>
      <c r="G63" s="333"/>
      <c r="H63" s="333"/>
      <c r="I63" s="333"/>
      <c r="J63" s="334"/>
      <c r="K63" s="302"/>
      <c r="L63" s="302"/>
    </row>
    <row r="64" spans="1:12" ht="13.5" x14ac:dyDescent="0.2">
      <c r="A64" s="302"/>
      <c r="B64" s="335" t="str">
        <f>$B$63 &amp; ".01"</f>
        <v>02.03.03.01.01</v>
      </c>
      <c r="C64" s="336" t="s">
        <v>353</v>
      </c>
      <c r="D64" s="337" t="s">
        <v>14</v>
      </c>
      <c r="E64" s="338"/>
      <c r="F64" s="333"/>
      <c r="G64" s="333"/>
      <c r="H64" s="333"/>
      <c r="I64" s="332">
        <f>+SUM(I65:I65)</f>
        <v>0.64</v>
      </c>
      <c r="J64" s="339">
        <f>I64*E63</f>
        <v>0.64</v>
      </c>
      <c r="K64" s="302"/>
      <c r="L64" s="302"/>
    </row>
    <row r="65" spans="1:12" ht="13.5" x14ac:dyDescent="0.2">
      <c r="A65" s="302"/>
      <c r="B65" s="335"/>
      <c r="C65" s="340"/>
      <c r="D65" s="330"/>
      <c r="E65" s="338">
        <v>1</v>
      </c>
      <c r="F65" s="333">
        <v>0.8</v>
      </c>
      <c r="G65" s="333">
        <v>0.8</v>
      </c>
      <c r="H65" s="333"/>
      <c r="I65" s="333">
        <f t="shared" ref="I65" si="2">+ROUND(PRODUCT(E65:H65),2)</f>
        <v>0.64</v>
      </c>
      <c r="J65" s="339"/>
      <c r="K65" s="302"/>
      <c r="L65" s="302"/>
    </row>
    <row r="66" spans="1:12" ht="13.5" x14ac:dyDescent="0.2">
      <c r="A66" s="302"/>
      <c r="B66" s="335"/>
      <c r="C66" s="336"/>
      <c r="D66" s="330"/>
      <c r="E66" s="338"/>
      <c r="F66" s="333"/>
      <c r="G66" s="333"/>
      <c r="H66" s="333"/>
      <c r="I66" s="333"/>
      <c r="J66" s="339"/>
      <c r="K66" s="302"/>
      <c r="L66" s="302"/>
    </row>
    <row r="67" spans="1:12" ht="13.5" x14ac:dyDescent="0.2">
      <c r="A67" s="302"/>
      <c r="B67" s="335" t="str">
        <f>$B$63 &amp; ".02"</f>
        <v>02.03.03.01.02</v>
      </c>
      <c r="C67" s="336" t="s">
        <v>218</v>
      </c>
      <c r="D67" s="337" t="s">
        <v>14</v>
      </c>
      <c r="E67" s="338"/>
      <c r="F67" s="333"/>
      <c r="G67" s="333"/>
      <c r="H67" s="333"/>
      <c r="I67" s="332">
        <f>+SUM(I68)</f>
        <v>0.64</v>
      </c>
      <c r="J67" s="339">
        <f>I67*E63</f>
        <v>0.64</v>
      </c>
      <c r="K67" s="302"/>
      <c r="L67" s="302"/>
    </row>
    <row r="68" spans="1:12" ht="13.5" x14ac:dyDescent="0.2">
      <c r="A68" s="302"/>
      <c r="B68" s="335"/>
      <c r="C68" s="340"/>
      <c r="D68" s="330"/>
      <c r="E68" s="338">
        <v>1</v>
      </c>
      <c r="F68" s="333">
        <f>F65</f>
        <v>0.8</v>
      </c>
      <c r="G68" s="333">
        <f>G65</f>
        <v>0.8</v>
      </c>
      <c r="H68" s="333"/>
      <c r="I68" s="333">
        <f>+ROUND(PRODUCT(E68:H68),2)</f>
        <v>0.64</v>
      </c>
      <c r="J68" s="339"/>
      <c r="K68" s="302"/>
      <c r="L68" s="302"/>
    </row>
    <row r="69" spans="1:12" ht="13.5" x14ac:dyDescent="0.2">
      <c r="A69" s="302"/>
      <c r="B69" s="335"/>
      <c r="C69" s="336"/>
      <c r="D69" s="330"/>
      <c r="E69" s="338"/>
      <c r="F69" s="333"/>
      <c r="G69" s="333"/>
      <c r="H69" s="333"/>
      <c r="I69" s="333"/>
      <c r="J69" s="339"/>
      <c r="K69" s="302"/>
      <c r="L69" s="302"/>
    </row>
    <row r="70" spans="1:12" ht="13.5" x14ac:dyDescent="0.2">
      <c r="A70" s="302"/>
      <c r="B70" s="335" t="str">
        <f>$B$63 &amp; ".03"</f>
        <v>02.03.03.01.03</v>
      </c>
      <c r="C70" s="336" t="s">
        <v>219</v>
      </c>
      <c r="D70" s="337" t="s">
        <v>14</v>
      </c>
      <c r="E70" s="338"/>
      <c r="F70" s="333"/>
      <c r="G70" s="333"/>
      <c r="H70" s="333"/>
      <c r="I70" s="332">
        <f>+SUM(I71)</f>
        <v>0.64</v>
      </c>
      <c r="J70" s="339">
        <f>I70*E63</f>
        <v>0.64</v>
      </c>
      <c r="K70" s="302"/>
      <c r="L70" s="302"/>
    </row>
    <row r="71" spans="1:12" ht="13.5" x14ac:dyDescent="0.2">
      <c r="A71" s="302"/>
      <c r="B71" s="335"/>
      <c r="C71" s="340"/>
      <c r="D71" s="330"/>
      <c r="E71" s="338">
        <v>1</v>
      </c>
      <c r="F71" s="333">
        <f>F68</f>
        <v>0.8</v>
      </c>
      <c r="G71" s="333">
        <f>G68</f>
        <v>0.8</v>
      </c>
      <c r="H71" s="333"/>
      <c r="I71" s="333">
        <f>+ROUND(PRODUCT(E71:H71),2)</f>
        <v>0.64</v>
      </c>
      <c r="J71" s="339"/>
      <c r="K71" s="302"/>
      <c r="L71" s="302"/>
    </row>
    <row r="72" spans="1:12" ht="13.5" x14ac:dyDescent="0.2">
      <c r="A72" s="302"/>
      <c r="B72" s="335"/>
      <c r="C72" s="336"/>
      <c r="D72" s="337"/>
      <c r="E72" s="338"/>
      <c r="F72" s="333"/>
      <c r="G72" s="333"/>
      <c r="H72" s="333"/>
      <c r="I72" s="332"/>
      <c r="J72" s="339"/>
      <c r="K72" s="302"/>
      <c r="L72" s="302"/>
    </row>
    <row r="73" spans="1:12" ht="13.5" x14ac:dyDescent="0.2">
      <c r="A73" s="302"/>
      <c r="B73" s="328" t="str">
        <f>$B$62 &amp; ".02"</f>
        <v>02.03.03.02</v>
      </c>
      <c r="C73" s="329" t="s">
        <v>19</v>
      </c>
      <c r="D73" s="337"/>
      <c r="E73" s="331">
        <f>E63</f>
        <v>1</v>
      </c>
      <c r="F73" s="333"/>
      <c r="G73" s="333"/>
      <c r="H73" s="333"/>
      <c r="I73" s="332"/>
      <c r="J73" s="339"/>
      <c r="K73" s="302"/>
      <c r="L73" s="302"/>
    </row>
    <row r="74" spans="1:12" s="341" customFormat="1" ht="13.5" x14ac:dyDescent="0.2">
      <c r="A74" s="302"/>
      <c r="B74" s="335" t="str">
        <f>$B$73 &amp; ".01"</f>
        <v>02.03.03.02.01</v>
      </c>
      <c r="C74" s="336" t="s">
        <v>20</v>
      </c>
      <c r="D74" s="337" t="s">
        <v>21</v>
      </c>
      <c r="E74" s="338"/>
      <c r="F74" s="333"/>
      <c r="G74" s="333"/>
      <c r="H74" s="333"/>
      <c r="I74" s="332">
        <f>+SUM(I75:I75)</f>
        <v>0.8</v>
      </c>
      <c r="J74" s="339">
        <f>I74*E73</f>
        <v>0.8</v>
      </c>
      <c r="K74" s="302"/>
      <c r="L74" s="302"/>
    </row>
    <row r="75" spans="1:12" ht="13.5" x14ac:dyDescent="0.2">
      <c r="A75" s="302"/>
      <c r="B75" s="335"/>
      <c r="C75" s="340" t="s">
        <v>250</v>
      </c>
      <c r="D75" s="337"/>
      <c r="E75" s="338">
        <v>1</v>
      </c>
      <c r="F75" s="333">
        <f>F71</f>
        <v>0.8</v>
      </c>
      <c r="G75" s="333">
        <f>G71</f>
        <v>0.8</v>
      </c>
      <c r="H75" s="333">
        <v>1.25</v>
      </c>
      <c r="I75" s="333">
        <f>+ROUND(PRODUCT(E75:H75),2)</f>
        <v>0.8</v>
      </c>
      <c r="J75" s="339"/>
      <c r="K75" s="302"/>
      <c r="L75" s="302"/>
    </row>
    <row r="76" spans="1:12" ht="13.5" x14ac:dyDescent="0.2">
      <c r="A76" s="302"/>
      <c r="B76" s="335"/>
      <c r="C76" s="336"/>
      <c r="D76" s="337"/>
      <c r="E76" s="338"/>
      <c r="F76" s="333"/>
      <c r="G76" s="333"/>
      <c r="H76" s="333"/>
      <c r="I76" s="332"/>
      <c r="J76" s="339"/>
      <c r="K76" s="302"/>
      <c r="L76" s="302"/>
    </row>
    <row r="77" spans="1:12" ht="13.5" x14ac:dyDescent="0.2">
      <c r="A77" s="302"/>
      <c r="B77" s="335" t="str">
        <f>$B$73 &amp; ".02"</f>
        <v>02.03.03.02.02</v>
      </c>
      <c r="C77" s="336" t="s">
        <v>220</v>
      </c>
      <c r="D77" s="337" t="s">
        <v>14</v>
      </c>
      <c r="E77" s="338"/>
      <c r="F77" s="333"/>
      <c r="G77" s="333"/>
      <c r="H77" s="333"/>
      <c r="I77" s="332">
        <f>+SUM(I78)</f>
        <v>0.64</v>
      </c>
      <c r="J77" s="339">
        <f>I77*E63</f>
        <v>0.64</v>
      </c>
      <c r="K77" s="302"/>
      <c r="L77" s="302"/>
    </row>
    <row r="78" spans="1:12" ht="13.5" x14ac:dyDescent="0.2">
      <c r="A78" s="302"/>
      <c r="B78" s="335"/>
      <c r="C78" s="336"/>
      <c r="D78" s="337"/>
      <c r="E78" s="338">
        <v>1</v>
      </c>
      <c r="F78" s="333">
        <f>F75</f>
        <v>0.8</v>
      </c>
      <c r="G78" s="333">
        <f>G75</f>
        <v>0.8</v>
      </c>
      <c r="H78" s="333"/>
      <c r="I78" s="333">
        <f>+ROUND(PRODUCT(E78:H78),2)</f>
        <v>0.64</v>
      </c>
      <c r="J78" s="339"/>
      <c r="K78" s="302"/>
      <c r="L78" s="302"/>
    </row>
    <row r="79" spans="1:12" ht="13.5" x14ac:dyDescent="0.2">
      <c r="A79" s="302"/>
      <c r="B79" s="335"/>
      <c r="C79" s="336"/>
      <c r="D79" s="337"/>
      <c r="E79" s="338"/>
      <c r="F79" s="333"/>
      <c r="G79" s="333"/>
      <c r="H79" s="333"/>
      <c r="I79" s="332"/>
      <c r="J79" s="339"/>
      <c r="K79" s="302"/>
      <c r="L79" s="302"/>
    </row>
    <row r="80" spans="1:12" s="341" customFormat="1" ht="13.5" x14ac:dyDescent="0.2">
      <c r="A80" s="302"/>
      <c r="B80" s="335" t="str">
        <f>$B$73 &amp; ".03"</f>
        <v>02.03.03.02.03</v>
      </c>
      <c r="C80" s="336" t="s">
        <v>388</v>
      </c>
      <c r="D80" s="337" t="s">
        <v>14</v>
      </c>
      <c r="E80" s="338"/>
      <c r="F80" s="333" t="s">
        <v>245</v>
      </c>
      <c r="G80" s="333"/>
      <c r="H80" s="333"/>
      <c r="I80" s="332">
        <f>+SUM(I81)</f>
        <v>1</v>
      </c>
      <c r="J80" s="339">
        <f>I80*E63</f>
        <v>1</v>
      </c>
      <c r="K80" s="302"/>
      <c r="L80" s="302"/>
    </row>
    <row r="81" spans="1:12" ht="13.5" x14ac:dyDescent="0.2">
      <c r="A81" s="302"/>
      <c r="B81" s="335"/>
      <c r="C81" s="336"/>
      <c r="D81" s="337"/>
      <c r="E81" s="338">
        <v>1</v>
      </c>
      <c r="F81" s="333">
        <v>1.25</v>
      </c>
      <c r="G81" s="333">
        <f>I74</f>
        <v>0.8</v>
      </c>
      <c r="H81" s="333"/>
      <c r="I81" s="333">
        <f>+ROUND(PRODUCT(E81:H81),2)</f>
        <v>1</v>
      </c>
      <c r="J81" s="339"/>
      <c r="K81" s="302"/>
      <c r="L81" s="302"/>
    </row>
    <row r="82" spans="1:12" ht="13.5" x14ac:dyDescent="0.2">
      <c r="A82" s="302"/>
      <c r="B82" s="335"/>
      <c r="C82" s="336"/>
      <c r="D82" s="337"/>
      <c r="E82" s="338"/>
      <c r="F82" s="333"/>
      <c r="G82" s="333"/>
      <c r="H82" s="333"/>
      <c r="I82" s="332"/>
      <c r="J82" s="339"/>
      <c r="K82" s="302"/>
      <c r="L82" s="302"/>
    </row>
    <row r="83" spans="1:12" ht="13.5" x14ac:dyDescent="0.2">
      <c r="A83" s="302"/>
      <c r="B83" s="328" t="str">
        <f>$B$62 &amp; ".03"</f>
        <v>02.03.03.03</v>
      </c>
      <c r="C83" s="329" t="s">
        <v>30</v>
      </c>
      <c r="D83" s="330"/>
      <c r="E83" s="331">
        <f>E73</f>
        <v>1</v>
      </c>
      <c r="F83" s="333"/>
      <c r="G83" s="333"/>
      <c r="H83" s="333"/>
      <c r="I83" s="332"/>
      <c r="J83" s="339"/>
      <c r="K83" s="302"/>
      <c r="L83" s="302"/>
    </row>
    <row r="84" spans="1:12" ht="13.5" x14ac:dyDescent="0.2">
      <c r="A84" s="302"/>
      <c r="B84" s="335" t="str">
        <f>$B$83 &amp; ".01"</f>
        <v>02.03.03.03.01</v>
      </c>
      <c r="C84" s="336" t="s">
        <v>224</v>
      </c>
      <c r="D84" s="337" t="s">
        <v>21</v>
      </c>
      <c r="E84" s="338"/>
      <c r="F84" s="333"/>
      <c r="G84" s="333"/>
      <c r="H84" s="333"/>
      <c r="I84" s="332">
        <f>+SUM(I85:I86)</f>
        <v>0.35</v>
      </c>
      <c r="J84" s="339">
        <f>I84*E83</f>
        <v>0.35</v>
      </c>
      <c r="K84" s="302"/>
      <c r="L84" s="302"/>
    </row>
    <row r="85" spans="1:12" ht="13.5" x14ac:dyDescent="0.2">
      <c r="A85" s="302"/>
      <c r="B85" s="335"/>
      <c r="C85" s="340" t="s">
        <v>246</v>
      </c>
      <c r="D85" s="337"/>
      <c r="E85" s="338">
        <v>2</v>
      </c>
      <c r="F85" s="333">
        <v>0.8</v>
      </c>
      <c r="G85" s="333">
        <v>0.1</v>
      </c>
      <c r="H85" s="333">
        <v>1.25</v>
      </c>
      <c r="I85" s="333">
        <f>+ROUND(PRODUCT(E85:H85),2)</f>
        <v>0.2</v>
      </c>
      <c r="J85" s="339"/>
      <c r="K85" s="302"/>
      <c r="L85" s="302"/>
    </row>
    <row r="86" spans="1:12" ht="13.5" x14ac:dyDescent="0.2">
      <c r="A86" s="302"/>
      <c r="B86" s="335"/>
      <c r="C86" s="340" t="s">
        <v>247</v>
      </c>
      <c r="D86" s="337"/>
      <c r="E86" s="338">
        <v>2</v>
      </c>
      <c r="F86" s="333">
        <v>0.6</v>
      </c>
      <c r="G86" s="333">
        <v>0.1</v>
      </c>
      <c r="H86" s="333">
        <v>1.25</v>
      </c>
      <c r="I86" s="333">
        <f>+ROUND(PRODUCT(E86:H86),2)</f>
        <v>0.15</v>
      </c>
      <c r="J86" s="339"/>
      <c r="K86" s="302"/>
      <c r="L86" s="302"/>
    </row>
    <row r="87" spans="1:12" ht="13.5" x14ac:dyDescent="0.2">
      <c r="A87" s="302"/>
      <c r="B87" s="335"/>
      <c r="C87" s="336"/>
      <c r="D87" s="337"/>
      <c r="E87" s="338"/>
      <c r="F87" s="333"/>
      <c r="G87" s="333"/>
      <c r="H87" s="333"/>
      <c r="I87" s="332"/>
      <c r="J87" s="339"/>
      <c r="K87" s="302"/>
      <c r="L87" s="302"/>
    </row>
    <row r="88" spans="1:12" ht="13.5" x14ac:dyDescent="0.2">
      <c r="A88" s="302"/>
      <c r="B88" s="335" t="str">
        <f>$B$83 &amp; ".02"</f>
        <v>02.03.03.03.02</v>
      </c>
      <c r="C88" s="336" t="s">
        <v>225</v>
      </c>
      <c r="D88" s="330" t="s">
        <v>14</v>
      </c>
      <c r="E88" s="338"/>
      <c r="F88" s="333"/>
      <c r="G88" s="333"/>
      <c r="H88" s="333"/>
      <c r="I88" s="332">
        <f>+SUM(I89:I90)*1.05</f>
        <v>7.3500000000000005</v>
      </c>
      <c r="J88" s="339">
        <f>I88*E83</f>
        <v>7.3500000000000005</v>
      </c>
      <c r="K88" s="302"/>
      <c r="L88" s="302"/>
    </row>
    <row r="89" spans="1:12" ht="13.5" x14ac:dyDescent="0.2">
      <c r="A89" s="302"/>
      <c r="B89" s="335"/>
      <c r="C89" s="340" t="s">
        <v>248</v>
      </c>
      <c r="D89" s="330"/>
      <c r="E89" s="338">
        <v>1</v>
      </c>
      <c r="F89" s="333">
        <v>2.4</v>
      </c>
      <c r="G89" s="333"/>
      <c r="H89" s="333">
        <v>1.25</v>
      </c>
      <c r="I89" s="333">
        <f>+ROUND(PRODUCT(E89:H89),2)</f>
        <v>3</v>
      </c>
      <c r="J89" s="339"/>
      <c r="K89" s="302"/>
      <c r="L89" s="302"/>
    </row>
    <row r="90" spans="1:12" ht="13.5" x14ac:dyDescent="0.2">
      <c r="A90" s="302"/>
      <c r="B90" s="335"/>
      <c r="C90" s="343" t="s">
        <v>249</v>
      </c>
      <c r="D90" s="330"/>
      <c r="E90" s="338">
        <v>1</v>
      </c>
      <c r="F90" s="333">
        <v>3.2</v>
      </c>
      <c r="G90" s="333"/>
      <c r="H90" s="333">
        <v>1.25</v>
      </c>
      <c r="I90" s="333">
        <f>+ROUND(PRODUCT(E90:H90),2)</f>
        <v>4</v>
      </c>
      <c r="J90" s="339"/>
      <c r="K90" s="302"/>
      <c r="L90" s="302"/>
    </row>
    <row r="91" spans="1:12" ht="13.5" x14ac:dyDescent="0.2">
      <c r="A91" s="302"/>
      <c r="B91" s="335"/>
      <c r="C91" s="336"/>
      <c r="D91" s="330"/>
      <c r="E91" s="338"/>
      <c r="F91" s="333"/>
      <c r="G91" s="333"/>
      <c r="H91" s="333"/>
      <c r="I91" s="333"/>
      <c r="J91" s="339"/>
      <c r="K91" s="302"/>
      <c r="L91" s="302"/>
    </row>
    <row r="92" spans="1:12" ht="13.5" x14ac:dyDescent="0.2">
      <c r="A92" s="302"/>
      <c r="B92" s="335" t="str">
        <f>$B$83 &amp; ".03"</f>
        <v>02.03.03.03.03</v>
      </c>
      <c r="C92" s="344" t="s">
        <v>226</v>
      </c>
      <c r="D92" s="345" t="s">
        <v>34</v>
      </c>
      <c r="E92" s="346" t="s">
        <v>227</v>
      </c>
      <c r="F92" s="347" t="s">
        <v>228</v>
      </c>
      <c r="G92" s="347" t="s">
        <v>229</v>
      </c>
      <c r="H92" s="347" t="s">
        <v>230</v>
      </c>
      <c r="I92" s="332">
        <f>+SUM(I93:I94)*1.2</f>
        <v>9.3840000000000003</v>
      </c>
      <c r="J92" s="339">
        <f>I92*E83</f>
        <v>9.3840000000000003</v>
      </c>
      <c r="K92" s="302"/>
      <c r="L92" s="302"/>
    </row>
    <row r="93" spans="1:12" ht="13.5" x14ac:dyDescent="0.2">
      <c r="A93" s="302"/>
      <c r="B93" s="335"/>
      <c r="C93" s="348" t="s">
        <v>253</v>
      </c>
      <c r="D93" s="345"/>
      <c r="E93" s="349">
        <v>0.375</v>
      </c>
      <c r="F93" s="350">
        <v>16</v>
      </c>
      <c r="G93" s="350">
        <v>1.1499999999999999</v>
      </c>
      <c r="H93" s="350">
        <f>+VLOOKUP(E93,$D$253:$I$261,6,FALSE)</f>
        <v>0.56000000000000005</v>
      </c>
      <c r="I93" s="333">
        <f t="shared" ref="I93:I94" si="3">+ROUND(PRODUCT(E93:H93),2)</f>
        <v>3.86</v>
      </c>
      <c r="J93" s="339"/>
      <c r="K93" s="302"/>
      <c r="L93" s="302"/>
    </row>
    <row r="94" spans="1:12" ht="13.5" x14ac:dyDescent="0.2">
      <c r="A94" s="302"/>
      <c r="B94" s="335"/>
      <c r="C94" s="340" t="s">
        <v>254</v>
      </c>
      <c r="D94" s="337"/>
      <c r="E94" s="351">
        <v>0.375</v>
      </c>
      <c r="F94" s="350">
        <v>6</v>
      </c>
      <c r="G94" s="350">
        <v>3.14</v>
      </c>
      <c r="H94" s="350">
        <f>+VLOOKUP(E94,$D$253:$I$261,6,FALSE)</f>
        <v>0.56000000000000005</v>
      </c>
      <c r="I94" s="333">
        <f t="shared" si="3"/>
        <v>3.96</v>
      </c>
      <c r="J94" s="339"/>
      <c r="K94" s="302"/>
      <c r="L94" s="302"/>
    </row>
    <row r="95" spans="1:12" ht="13.5" x14ac:dyDescent="0.2">
      <c r="A95" s="302"/>
      <c r="B95" s="335"/>
      <c r="C95" s="340"/>
      <c r="D95" s="337"/>
      <c r="E95" s="337"/>
      <c r="F95" s="337"/>
      <c r="G95" s="337"/>
      <c r="H95" s="337"/>
      <c r="I95" s="337"/>
      <c r="J95" s="339"/>
      <c r="K95" s="302"/>
      <c r="L95" s="302"/>
    </row>
    <row r="96" spans="1:12" ht="13.5" x14ac:dyDescent="0.2">
      <c r="A96" s="302"/>
      <c r="B96" s="328" t="str">
        <f>$B$62 &amp; ".04"</f>
        <v>02.03.03.04</v>
      </c>
      <c r="C96" s="352" t="s">
        <v>37</v>
      </c>
      <c r="D96" s="337"/>
      <c r="E96" s="331">
        <f>E83</f>
        <v>1</v>
      </c>
      <c r="F96" s="333"/>
      <c r="G96" s="333"/>
      <c r="H96" s="333"/>
      <c r="I96" s="333"/>
      <c r="J96" s="339"/>
      <c r="K96" s="302"/>
      <c r="L96" s="302"/>
    </row>
    <row r="97" spans="1:12" ht="13.5" x14ac:dyDescent="0.2">
      <c r="A97" s="302"/>
      <c r="B97" s="335" t="str">
        <f>$B$96 &amp; ".01"</f>
        <v>02.03.03.04.01</v>
      </c>
      <c r="C97" s="336" t="s">
        <v>268</v>
      </c>
      <c r="D97" s="337" t="s">
        <v>14</v>
      </c>
      <c r="E97" s="338"/>
      <c r="F97" s="333"/>
      <c r="G97" s="333"/>
      <c r="H97" s="333"/>
      <c r="I97" s="332">
        <f>+SUM(I98:I98)</f>
        <v>3</v>
      </c>
      <c r="J97" s="339">
        <f>I97*E83</f>
        <v>3</v>
      </c>
      <c r="K97" s="302"/>
      <c r="L97" s="302"/>
    </row>
    <row r="98" spans="1:12" ht="13.5" x14ac:dyDescent="0.2">
      <c r="A98" s="302"/>
      <c r="B98" s="335"/>
      <c r="C98" s="340" t="s">
        <v>251</v>
      </c>
      <c r="D98" s="330"/>
      <c r="E98" s="338">
        <v>1</v>
      </c>
      <c r="F98" s="333">
        <v>2.4</v>
      </c>
      <c r="G98" s="333"/>
      <c r="H98" s="333">
        <v>1.25</v>
      </c>
      <c r="I98" s="333">
        <f>+ROUND(PRODUCT(E98:H98),2)</f>
        <v>3</v>
      </c>
      <c r="J98" s="339"/>
      <c r="K98" s="302"/>
      <c r="L98" s="302"/>
    </row>
    <row r="99" spans="1:12" ht="13.5" x14ac:dyDescent="0.2">
      <c r="A99" s="302"/>
      <c r="B99" s="335"/>
      <c r="C99" s="340"/>
      <c r="D99" s="330"/>
      <c r="E99" s="338"/>
      <c r="F99" s="333"/>
      <c r="G99" s="333"/>
      <c r="H99" s="333"/>
      <c r="I99" s="333"/>
      <c r="J99" s="339"/>
      <c r="K99" s="302"/>
      <c r="L99" s="302"/>
    </row>
    <row r="100" spans="1:12" ht="13.5" x14ac:dyDescent="0.2">
      <c r="A100" s="302"/>
      <c r="B100" s="328" t="str">
        <f>$B$62 &amp; ".05"</f>
        <v>02.03.03.05</v>
      </c>
      <c r="C100" s="329" t="s">
        <v>258</v>
      </c>
      <c r="D100" s="330"/>
      <c r="E100" s="331">
        <f>E96</f>
        <v>1</v>
      </c>
      <c r="F100" s="333"/>
      <c r="G100" s="333"/>
      <c r="H100" s="333"/>
      <c r="I100" s="332"/>
      <c r="J100" s="339"/>
      <c r="K100" s="302"/>
      <c r="L100" s="302"/>
    </row>
    <row r="101" spans="1:12" ht="13.5" x14ac:dyDescent="0.2">
      <c r="A101" s="302"/>
      <c r="B101" s="335" t="str">
        <f>$B$100 &amp; ".01"</f>
        <v>02.03.03.05.01</v>
      </c>
      <c r="C101" s="336" t="s">
        <v>259</v>
      </c>
      <c r="D101" s="337" t="s">
        <v>35</v>
      </c>
      <c r="E101" s="338">
        <v>1</v>
      </c>
      <c r="F101" s="333"/>
      <c r="G101" s="333"/>
      <c r="H101" s="333"/>
      <c r="I101" s="333">
        <f>+ROUND(PRODUCT(E101:H101),2)</f>
        <v>1</v>
      </c>
      <c r="J101" s="339">
        <f>I101*E100</f>
        <v>1</v>
      </c>
      <c r="K101" s="302"/>
      <c r="L101" s="302"/>
    </row>
    <row r="102" spans="1:12" ht="13.5" x14ac:dyDescent="0.2">
      <c r="A102" s="302"/>
      <c r="B102" s="335"/>
      <c r="C102" s="340" t="s">
        <v>260</v>
      </c>
      <c r="D102" s="337" t="s">
        <v>35</v>
      </c>
      <c r="E102" s="338">
        <v>1</v>
      </c>
      <c r="F102" s="333"/>
      <c r="G102" s="333"/>
      <c r="H102" s="333"/>
      <c r="I102" s="333"/>
      <c r="J102" s="339"/>
      <c r="K102" s="302"/>
      <c r="L102" s="302"/>
    </row>
    <row r="103" spans="1:12" ht="13.5" x14ac:dyDescent="0.2">
      <c r="A103" s="302"/>
      <c r="B103" s="335"/>
      <c r="C103" s="340" t="s">
        <v>269</v>
      </c>
      <c r="D103" s="337" t="s">
        <v>35</v>
      </c>
      <c r="E103" s="338">
        <v>1</v>
      </c>
      <c r="F103" s="333"/>
      <c r="G103" s="333"/>
      <c r="H103" s="333"/>
      <c r="I103" s="333"/>
      <c r="J103" s="339"/>
      <c r="K103" s="302"/>
      <c r="L103" s="302"/>
    </row>
    <row r="104" spans="1:12" ht="13.5" x14ac:dyDescent="0.2">
      <c r="A104" s="302"/>
      <c r="B104" s="335"/>
      <c r="C104" s="336"/>
      <c r="D104" s="337"/>
      <c r="E104" s="338"/>
      <c r="F104" s="333"/>
      <c r="G104" s="333"/>
      <c r="H104" s="333"/>
      <c r="I104" s="333"/>
      <c r="J104" s="339"/>
      <c r="K104" s="302"/>
      <c r="L104" s="302"/>
    </row>
    <row r="105" spans="1:12" ht="13.5" x14ac:dyDescent="0.2">
      <c r="A105" s="302"/>
      <c r="B105" s="328" t="str">
        <f>$B$62 &amp; ".06"</f>
        <v>02.03.03.06</v>
      </c>
      <c r="C105" s="352" t="s">
        <v>265</v>
      </c>
      <c r="D105" s="337"/>
      <c r="E105" s="331">
        <f>E100</f>
        <v>1</v>
      </c>
      <c r="F105" s="333"/>
      <c r="G105" s="333"/>
      <c r="H105" s="333"/>
      <c r="I105" s="333"/>
      <c r="J105" s="339"/>
      <c r="K105" s="302"/>
      <c r="L105" s="302"/>
    </row>
    <row r="106" spans="1:12" ht="13.5" x14ac:dyDescent="0.2">
      <c r="A106" s="302"/>
      <c r="B106" s="335" t="str">
        <f>$B$105 &amp; ".01"</f>
        <v>02.03.03.06.01</v>
      </c>
      <c r="C106" s="336" t="s">
        <v>266</v>
      </c>
      <c r="D106" s="337" t="s">
        <v>35</v>
      </c>
      <c r="E106" s="338"/>
      <c r="F106" s="333"/>
      <c r="G106" s="333"/>
      <c r="H106" s="333"/>
      <c r="I106" s="332">
        <f>I107</f>
        <v>1</v>
      </c>
      <c r="J106" s="339">
        <f>I106*E105</f>
        <v>1</v>
      </c>
      <c r="K106" s="302"/>
      <c r="L106" s="302"/>
    </row>
    <row r="107" spans="1:12" ht="13.5" x14ac:dyDescent="0.2">
      <c r="A107" s="302"/>
      <c r="B107" s="335"/>
      <c r="C107" s="336"/>
      <c r="D107" s="337"/>
      <c r="E107" s="338">
        <v>1</v>
      </c>
      <c r="F107" s="333"/>
      <c r="G107" s="333"/>
      <c r="H107" s="333"/>
      <c r="I107" s="333">
        <f>+ROUND(PRODUCT(E107:H107),2)</f>
        <v>1</v>
      </c>
      <c r="J107" s="339"/>
      <c r="K107" s="302"/>
      <c r="L107" s="302"/>
    </row>
    <row r="108" spans="1:12" ht="13.5" x14ac:dyDescent="0.2">
      <c r="A108" s="302"/>
      <c r="B108" s="335"/>
      <c r="C108" s="336"/>
      <c r="D108" s="337"/>
      <c r="E108" s="338"/>
      <c r="F108" s="333"/>
      <c r="G108" s="333"/>
      <c r="H108" s="333"/>
      <c r="I108" s="332"/>
      <c r="J108" s="339"/>
      <c r="K108" s="302"/>
      <c r="L108" s="302"/>
    </row>
    <row r="109" spans="1:12" ht="13.5" x14ac:dyDescent="0.25">
      <c r="A109" s="302"/>
      <c r="B109" s="323" t="s">
        <v>389</v>
      </c>
      <c r="C109" s="353" t="s">
        <v>356</v>
      </c>
      <c r="D109" s="354"/>
      <c r="E109" s="355"/>
      <c r="F109" s="356"/>
      <c r="G109" s="357"/>
      <c r="H109" s="357"/>
      <c r="I109" s="357"/>
      <c r="J109" s="357"/>
      <c r="K109" s="302"/>
      <c r="L109" s="302"/>
    </row>
    <row r="110" spans="1:12" ht="13.5" x14ac:dyDescent="0.2">
      <c r="A110" s="302"/>
      <c r="B110" s="328" t="str">
        <f>$B$109 &amp; ".01"</f>
        <v>02.03.04.01</v>
      </c>
      <c r="C110" s="358" t="s">
        <v>13</v>
      </c>
      <c r="D110" s="358"/>
      <c r="E110" s="359">
        <f>E21</f>
        <v>1</v>
      </c>
      <c r="F110" s="360"/>
      <c r="G110" s="360"/>
      <c r="H110" s="360"/>
      <c r="I110" s="360"/>
      <c r="J110" s="360"/>
      <c r="K110" s="302"/>
      <c r="L110" s="302"/>
    </row>
    <row r="111" spans="1:12" ht="13.5" x14ac:dyDescent="0.2">
      <c r="A111" s="302"/>
      <c r="B111" s="335" t="str">
        <f>$B$110 &amp; ".01"</f>
        <v>02.03.04.01.01</v>
      </c>
      <c r="C111" s="361" t="s">
        <v>217</v>
      </c>
      <c r="D111" s="362" t="s">
        <v>14</v>
      </c>
      <c r="E111" s="363">
        <v>1</v>
      </c>
      <c r="F111" s="364" t="s">
        <v>216</v>
      </c>
      <c r="G111" s="364">
        <v>3.15</v>
      </c>
      <c r="H111" s="364"/>
      <c r="I111" s="365">
        <f>+ROUND(PRODUCT(E111:H111),2)</f>
        <v>3.15</v>
      </c>
      <c r="J111" s="366">
        <f>+I111*E110</f>
        <v>3.15</v>
      </c>
      <c r="K111" s="302"/>
      <c r="L111" s="302"/>
    </row>
    <row r="112" spans="1:12" ht="13.5" x14ac:dyDescent="0.25">
      <c r="A112" s="302"/>
      <c r="B112" s="367"/>
      <c r="C112" s="368"/>
      <c r="D112" s="362"/>
      <c r="E112" s="363"/>
      <c r="F112" s="364"/>
      <c r="G112" s="364"/>
      <c r="H112" s="364"/>
      <c r="I112" s="365"/>
      <c r="J112" s="369"/>
      <c r="K112" s="302"/>
      <c r="L112" s="302"/>
    </row>
    <row r="113" spans="1:12" ht="13.5" x14ac:dyDescent="0.2">
      <c r="A113" s="302"/>
      <c r="B113" s="335" t="str">
        <f>$B$110 &amp; ".02"</f>
        <v>02.03.04.01.02</v>
      </c>
      <c r="C113" s="361" t="s">
        <v>218</v>
      </c>
      <c r="D113" s="362" t="s">
        <v>14</v>
      </c>
      <c r="E113" s="363">
        <v>1</v>
      </c>
      <c r="F113" s="365">
        <v>3.15</v>
      </c>
      <c r="G113" s="364"/>
      <c r="H113" s="364"/>
      <c r="I113" s="365">
        <f>+ROUND(PRODUCT(E113:H113),2)</f>
        <v>3.15</v>
      </c>
      <c r="J113" s="366">
        <f>+I113</f>
        <v>3.15</v>
      </c>
      <c r="K113" s="302"/>
      <c r="L113" s="302"/>
    </row>
    <row r="114" spans="1:12" ht="13.5" x14ac:dyDescent="0.25">
      <c r="A114" s="302"/>
      <c r="B114" s="367"/>
      <c r="C114" s="368"/>
      <c r="D114" s="362"/>
      <c r="E114" s="363"/>
      <c r="F114" s="364"/>
      <c r="G114" s="364"/>
      <c r="H114" s="364"/>
      <c r="I114" s="365"/>
      <c r="J114" s="369"/>
      <c r="K114" s="302"/>
      <c r="L114" s="302"/>
    </row>
    <row r="115" spans="1:12" ht="13.5" x14ac:dyDescent="0.2">
      <c r="A115" s="302"/>
      <c r="B115" s="335" t="str">
        <f>$B$110 &amp; ".03"</f>
        <v>02.03.04.01.03</v>
      </c>
      <c r="C115" s="361" t="s">
        <v>219</v>
      </c>
      <c r="D115" s="362" t="s">
        <v>14</v>
      </c>
      <c r="E115" s="363">
        <v>1</v>
      </c>
      <c r="F115" s="365">
        <v>3.15</v>
      </c>
      <c r="G115" s="364"/>
      <c r="H115" s="364"/>
      <c r="I115" s="365">
        <f>+ROUND(PRODUCT(E115:H115),2)</f>
        <v>3.15</v>
      </c>
      <c r="J115" s="366">
        <f>+I115</f>
        <v>3.15</v>
      </c>
      <c r="K115" s="302"/>
      <c r="L115" s="302"/>
    </row>
    <row r="116" spans="1:12" ht="13.5" x14ac:dyDescent="0.25">
      <c r="A116" s="302"/>
      <c r="B116" s="410"/>
      <c r="C116" s="368"/>
      <c r="D116" s="362"/>
      <c r="E116" s="363"/>
      <c r="F116" s="364"/>
      <c r="G116" s="364"/>
      <c r="H116" s="364"/>
      <c r="I116" s="365"/>
      <c r="J116" s="369"/>
      <c r="K116" s="302"/>
      <c r="L116" s="302"/>
    </row>
    <row r="117" spans="1:12" ht="13.5" x14ac:dyDescent="0.25">
      <c r="A117" s="302"/>
      <c r="B117" s="410"/>
      <c r="C117" s="368"/>
      <c r="D117" s="362"/>
      <c r="E117" s="363"/>
      <c r="F117" s="364"/>
      <c r="G117" s="364"/>
      <c r="H117" s="364"/>
      <c r="I117" s="365"/>
      <c r="J117" s="369"/>
      <c r="K117" s="302"/>
      <c r="L117" s="302"/>
    </row>
    <row r="118" spans="1:12" ht="13.5" x14ac:dyDescent="0.2">
      <c r="A118" s="302"/>
      <c r="B118" s="328" t="str">
        <f>$B$109 &amp; ".02"</f>
        <v>02.03.04.02</v>
      </c>
      <c r="C118" s="358" t="s">
        <v>19</v>
      </c>
      <c r="D118" s="358"/>
      <c r="E118" s="359">
        <f>E110</f>
        <v>1</v>
      </c>
      <c r="F118" s="360"/>
      <c r="G118" s="360"/>
      <c r="H118" s="360"/>
      <c r="I118" s="360"/>
      <c r="J118" s="360"/>
      <c r="K118" s="302"/>
      <c r="L118" s="302"/>
    </row>
    <row r="119" spans="1:12" ht="13.5" x14ac:dyDescent="0.2">
      <c r="A119" s="302"/>
      <c r="B119" s="335" t="str">
        <f>$B$118 &amp; ".01"</f>
        <v>02.03.04.02.01</v>
      </c>
      <c r="C119" s="361" t="s">
        <v>20</v>
      </c>
      <c r="D119" s="362" t="s">
        <v>21</v>
      </c>
      <c r="E119" s="363">
        <v>1</v>
      </c>
      <c r="F119" s="364">
        <f>G111</f>
        <v>3.15</v>
      </c>
      <c r="G119" s="364"/>
      <c r="H119" s="364">
        <v>2.75</v>
      </c>
      <c r="I119" s="365">
        <f>F119*H119</f>
        <v>8.6624999999999996</v>
      </c>
      <c r="J119" s="366">
        <f>I119*E118</f>
        <v>8.6624999999999996</v>
      </c>
      <c r="K119" s="302"/>
      <c r="L119" s="302"/>
    </row>
    <row r="120" spans="1:12" ht="13.5" x14ac:dyDescent="0.25">
      <c r="A120" s="302"/>
      <c r="B120" s="335"/>
      <c r="C120" s="368"/>
      <c r="D120" s="362"/>
      <c r="E120" s="363"/>
      <c r="F120" s="364"/>
      <c r="G120" s="364"/>
      <c r="H120" s="364"/>
      <c r="I120" s="365"/>
      <c r="J120" s="369"/>
      <c r="K120" s="302"/>
      <c r="L120" s="302"/>
    </row>
    <row r="121" spans="1:12" ht="13.5" x14ac:dyDescent="0.2">
      <c r="A121" s="302"/>
      <c r="B121" s="335" t="str">
        <f>$B$118 &amp; ".02"</f>
        <v>02.03.04.02.02</v>
      </c>
      <c r="C121" s="361" t="s">
        <v>220</v>
      </c>
      <c r="D121" s="362" t="s">
        <v>14</v>
      </c>
      <c r="E121" s="363">
        <v>1</v>
      </c>
      <c r="F121" s="364">
        <v>3.15</v>
      </c>
      <c r="G121" s="364"/>
      <c r="H121" s="364"/>
      <c r="I121" s="365">
        <f>F121</f>
        <v>3.15</v>
      </c>
      <c r="J121" s="366">
        <f>I121*E118</f>
        <v>3.15</v>
      </c>
      <c r="K121" s="302"/>
      <c r="L121" s="302"/>
    </row>
    <row r="122" spans="1:12" ht="13.5" x14ac:dyDescent="0.25">
      <c r="A122" s="302"/>
      <c r="B122" s="335"/>
      <c r="C122" s="368"/>
      <c r="D122" s="362"/>
      <c r="E122" s="363"/>
      <c r="F122" s="364"/>
      <c r="G122" s="364"/>
      <c r="H122" s="364"/>
      <c r="I122" s="365"/>
      <c r="J122" s="369"/>
      <c r="K122" s="302"/>
      <c r="L122" s="302"/>
    </row>
    <row r="123" spans="1:12" ht="13.5" x14ac:dyDescent="0.25">
      <c r="A123" s="302"/>
      <c r="B123" s="335" t="str">
        <f>$B$118 &amp; ".03"</f>
        <v>02.03.04.02.03</v>
      </c>
      <c r="C123" s="361" t="s">
        <v>24</v>
      </c>
      <c r="D123" s="362" t="s">
        <v>21</v>
      </c>
      <c r="E123" s="370" t="s">
        <v>357</v>
      </c>
      <c r="F123" s="371"/>
      <c r="G123" s="364">
        <v>1.2</v>
      </c>
      <c r="H123" s="364">
        <f>I119</f>
        <v>8.6624999999999996</v>
      </c>
      <c r="I123" s="365">
        <f>+ROUND(PRODUCT(E123:H123),2)</f>
        <v>10.4</v>
      </c>
      <c r="J123" s="366">
        <f>+I123*E118</f>
        <v>10.4</v>
      </c>
      <c r="K123" s="302"/>
      <c r="L123" s="302"/>
    </row>
    <row r="124" spans="1:12" ht="13.5" x14ac:dyDescent="0.25">
      <c r="A124" s="302"/>
      <c r="B124" s="335"/>
      <c r="C124" s="368"/>
      <c r="D124" s="362"/>
      <c r="E124" s="363"/>
      <c r="F124" s="364"/>
      <c r="G124" s="364"/>
      <c r="H124" s="364"/>
      <c r="I124" s="365"/>
      <c r="J124" s="369"/>
      <c r="K124" s="302"/>
      <c r="L124" s="302"/>
    </row>
    <row r="125" spans="1:12" ht="13.5" x14ac:dyDescent="0.2">
      <c r="A125" s="302"/>
      <c r="B125" s="335" t="str">
        <f>$B$118 &amp; ".04"</f>
        <v>02.03.04.02.04</v>
      </c>
      <c r="C125" s="361" t="s">
        <v>222</v>
      </c>
      <c r="D125" s="362" t="s">
        <v>21</v>
      </c>
      <c r="E125" s="363">
        <v>1</v>
      </c>
      <c r="F125" s="364" t="s">
        <v>121</v>
      </c>
      <c r="G125" s="364"/>
      <c r="H125" s="364"/>
      <c r="I125" s="365">
        <f>SUM(I126:I129)</f>
        <v>3.1199999999999992</v>
      </c>
      <c r="J125" s="366">
        <f>I125*E118</f>
        <v>3.1199999999999992</v>
      </c>
      <c r="K125" s="302"/>
      <c r="L125" s="302"/>
    </row>
    <row r="126" spans="1:12" ht="13.5" x14ac:dyDescent="0.25">
      <c r="A126" s="302"/>
      <c r="B126" s="335"/>
      <c r="C126" s="372" t="s">
        <v>358</v>
      </c>
      <c r="D126" s="362"/>
      <c r="E126" s="363">
        <v>1</v>
      </c>
      <c r="F126" s="364">
        <v>3.15</v>
      </c>
      <c r="G126" s="364"/>
      <c r="H126" s="364">
        <v>2.6</v>
      </c>
      <c r="I126" s="365">
        <f>+ROUND(PRODUCT(E126:H126),2)</f>
        <v>8.19</v>
      </c>
      <c r="J126" s="369"/>
      <c r="K126" s="302"/>
      <c r="L126" s="302"/>
    </row>
    <row r="127" spans="1:12" ht="13.5" x14ac:dyDescent="0.25">
      <c r="A127" s="302"/>
      <c r="B127" s="335"/>
      <c r="C127" s="372" t="s">
        <v>359</v>
      </c>
      <c r="D127" s="362"/>
      <c r="E127" s="363">
        <v>-1</v>
      </c>
      <c r="F127" s="364">
        <v>2.0099999999999998</v>
      </c>
      <c r="G127" s="364"/>
      <c r="H127" s="364">
        <v>2.6</v>
      </c>
      <c r="I127" s="365">
        <f>+ROUND(PRODUCT(E127:H127),2)</f>
        <v>-5.23</v>
      </c>
      <c r="J127" s="369"/>
      <c r="K127" s="302"/>
      <c r="L127" s="302"/>
    </row>
    <row r="128" spans="1:12" ht="13.5" x14ac:dyDescent="0.25">
      <c r="A128" s="302"/>
      <c r="B128" s="335"/>
      <c r="C128" s="373"/>
      <c r="D128" s="362"/>
      <c r="E128" s="363"/>
      <c r="F128" s="364"/>
      <c r="G128" s="364"/>
      <c r="H128" s="364"/>
      <c r="I128" s="365"/>
      <c r="J128" s="369"/>
      <c r="K128" s="302"/>
      <c r="L128" s="302"/>
    </row>
    <row r="129" spans="1:12" ht="13.5" x14ac:dyDescent="0.2">
      <c r="A129" s="302"/>
      <c r="B129" s="335" t="str">
        <f>$B$118 &amp; ".05"</f>
        <v>02.03.04.02.05</v>
      </c>
      <c r="C129" s="361" t="s">
        <v>221</v>
      </c>
      <c r="D129" s="362" t="s">
        <v>21</v>
      </c>
      <c r="E129" s="363">
        <v>1</v>
      </c>
      <c r="F129" s="364">
        <v>0.8</v>
      </c>
      <c r="G129" s="364"/>
      <c r="H129" s="364">
        <v>0.2</v>
      </c>
      <c r="I129" s="365">
        <f>F129*H129</f>
        <v>0.16000000000000003</v>
      </c>
      <c r="J129" s="366">
        <f>I129*E118</f>
        <v>0.16000000000000003</v>
      </c>
      <c r="K129" s="302"/>
      <c r="L129" s="302"/>
    </row>
    <row r="130" spans="1:12" ht="13.5" x14ac:dyDescent="0.25">
      <c r="A130" s="302"/>
      <c r="B130" s="367"/>
      <c r="C130" s="374"/>
      <c r="D130" s="362"/>
      <c r="E130" s="363"/>
      <c r="F130" s="364"/>
      <c r="G130" s="364"/>
      <c r="H130" s="364"/>
      <c r="I130" s="365"/>
      <c r="J130" s="369"/>
      <c r="K130" s="302"/>
      <c r="L130" s="302"/>
    </row>
    <row r="131" spans="1:12" ht="13.5" x14ac:dyDescent="0.2">
      <c r="A131" s="302"/>
      <c r="B131" s="328" t="str">
        <f>$B$109 &amp; ".03"</f>
        <v>02.03.04.03</v>
      </c>
      <c r="C131" s="358" t="s">
        <v>25</v>
      </c>
      <c r="D131" s="358"/>
      <c r="E131" s="359">
        <f>E110</f>
        <v>1</v>
      </c>
      <c r="F131" s="360"/>
      <c r="G131" s="360"/>
      <c r="H131" s="360"/>
      <c r="I131" s="360"/>
      <c r="J131" s="360"/>
      <c r="K131" s="302"/>
      <c r="L131" s="302"/>
    </row>
    <row r="132" spans="1:12" ht="13.5" x14ac:dyDescent="0.2">
      <c r="A132" s="302"/>
      <c r="B132" s="335" t="str">
        <f>$B$131 &amp; ".01"</f>
        <v>02.03.04.03.01</v>
      </c>
      <c r="C132" s="361" t="s">
        <v>381</v>
      </c>
      <c r="D132" s="362" t="s">
        <v>21</v>
      </c>
      <c r="E132" s="375"/>
      <c r="F132" s="364" t="s">
        <v>121</v>
      </c>
      <c r="G132" s="364"/>
      <c r="H132" s="364"/>
      <c r="I132" s="366">
        <f>SUM(I133:I134)</f>
        <v>0.24000000000000002</v>
      </c>
      <c r="J132" s="366">
        <f>+I132*E131</f>
        <v>0.24000000000000002</v>
      </c>
      <c r="K132" s="302"/>
      <c r="L132" s="302"/>
    </row>
    <row r="133" spans="1:12" ht="13.5" x14ac:dyDescent="0.2">
      <c r="A133" s="302"/>
      <c r="B133" s="376"/>
      <c r="C133" s="377" t="s">
        <v>360</v>
      </c>
      <c r="D133" s="362"/>
      <c r="E133" s="363">
        <v>-1</v>
      </c>
      <c r="F133" s="364">
        <v>0.8</v>
      </c>
      <c r="G133" s="364"/>
      <c r="H133" s="364">
        <v>0.2</v>
      </c>
      <c r="I133" s="365">
        <f>+ROUND(PRODUCT(E133:H133),2)</f>
        <v>-0.16</v>
      </c>
      <c r="J133" s="366"/>
      <c r="K133" s="302"/>
      <c r="L133" s="302"/>
    </row>
    <row r="134" spans="1:12" ht="13.5" x14ac:dyDescent="0.2">
      <c r="A134" s="302"/>
      <c r="B134" s="378"/>
      <c r="C134" s="377" t="s">
        <v>361</v>
      </c>
      <c r="D134" s="362"/>
      <c r="E134" s="363">
        <v>1</v>
      </c>
      <c r="F134" s="364">
        <v>2.0099999999999998</v>
      </c>
      <c r="G134" s="364"/>
      <c r="H134" s="364">
        <v>0.2</v>
      </c>
      <c r="I134" s="365">
        <f>+ROUND(PRODUCT(E134:H134),2)</f>
        <v>0.4</v>
      </c>
      <c r="J134" s="369"/>
      <c r="K134" s="302"/>
      <c r="L134" s="302"/>
    </row>
    <row r="135" spans="1:12" ht="13.5" x14ac:dyDescent="0.2">
      <c r="A135" s="302"/>
      <c r="B135" s="378"/>
      <c r="C135" s="379"/>
      <c r="D135" s="362"/>
      <c r="E135" s="363"/>
      <c r="F135" s="364"/>
      <c r="G135" s="364"/>
      <c r="H135" s="364"/>
      <c r="I135" s="365"/>
      <c r="J135" s="369"/>
      <c r="K135" s="302"/>
      <c r="L135" s="302"/>
    </row>
    <row r="136" spans="1:12" ht="13.5" x14ac:dyDescent="0.2">
      <c r="A136" s="302"/>
      <c r="B136" s="335" t="str">
        <f>$B$131 &amp; ".02"</f>
        <v>02.03.04.03.02</v>
      </c>
      <c r="C136" s="361" t="s">
        <v>382</v>
      </c>
      <c r="D136" s="362" t="s">
        <v>14</v>
      </c>
      <c r="E136" s="375"/>
      <c r="F136" s="364" t="s">
        <v>124</v>
      </c>
      <c r="G136" s="364"/>
      <c r="H136" s="364"/>
      <c r="I136" s="366">
        <f>SUM(I137:I139)</f>
        <v>1.63</v>
      </c>
      <c r="J136" s="366">
        <f>+I136*E131</f>
        <v>1.63</v>
      </c>
      <c r="K136" s="302"/>
      <c r="L136" s="302"/>
    </row>
    <row r="137" spans="1:12" ht="13.5" x14ac:dyDescent="0.2">
      <c r="A137" s="302"/>
      <c r="B137" s="378"/>
      <c r="C137" s="377" t="s">
        <v>360</v>
      </c>
      <c r="D137" s="362"/>
      <c r="E137" s="363">
        <v>1</v>
      </c>
      <c r="F137" s="364">
        <v>3.16</v>
      </c>
      <c r="G137" s="364"/>
      <c r="H137" s="364">
        <v>0.2</v>
      </c>
      <c r="I137" s="365">
        <f>+ROUND(PRODUCT(E137:H137),2)</f>
        <v>0.63</v>
      </c>
      <c r="J137" s="369"/>
      <c r="K137" s="302"/>
      <c r="L137" s="302"/>
    </row>
    <row r="138" spans="1:12" ht="13.5" x14ac:dyDescent="0.2">
      <c r="A138" s="302"/>
      <c r="B138" s="378"/>
      <c r="C138" s="377" t="s">
        <v>361</v>
      </c>
      <c r="D138" s="362"/>
      <c r="E138" s="363">
        <v>1</v>
      </c>
      <c r="F138" s="364">
        <v>5.0199999999999996</v>
      </c>
      <c r="G138" s="364"/>
      <c r="H138" s="364">
        <v>0.2</v>
      </c>
      <c r="I138" s="365">
        <f>+ROUND(PRODUCT(E138:H138),2)</f>
        <v>1</v>
      </c>
      <c r="J138" s="369"/>
      <c r="K138" s="302"/>
      <c r="L138" s="302"/>
    </row>
    <row r="139" spans="1:12" ht="13.5" x14ac:dyDescent="0.2">
      <c r="A139" s="302"/>
      <c r="B139" s="378"/>
      <c r="C139" s="379"/>
      <c r="D139" s="362"/>
      <c r="E139" s="363"/>
      <c r="F139" s="364"/>
      <c r="G139" s="364"/>
      <c r="H139" s="364"/>
      <c r="I139" s="365"/>
      <c r="J139" s="369"/>
      <c r="K139" s="302"/>
      <c r="L139" s="302"/>
    </row>
    <row r="140" spans="1:12" ht="13.5" x14ac:dyDescent="0.2">
      <c r="A140" s="302"/>
      <c r="B140" s="328" t="str">
        <f>$B$109 &amp; ".04"</f>
        <v>02.03.04.04</v>
      </c>
      <c r="C140" s="358" t="s">
        <v>30</v>
      </c>
      <c r="D140" s="358"/>
      <c r="E140" s="380">
        <f>E110</f>
        <v>1</v>
      </c>
      <c r="F140" s="360"/>
      <c r="G140" s="360"/>
      <c r="H140" s="360"/>
      <c r="I140" s="360" t="s">
        <v>362</v>
      </c>
      <c r="J140" s="360"/>
      <c r="K140" s="302"/>
      <c r="L140" s="302"/>
    </row>
    <row r="141" spans="1:12" ht="13.5" x14ac:dyDescent="0.2">
      <c r="A141" s="302"/>
      <c r="B141" s="335" t="str">
        <f>$B$140 &amp; ".01"</f>
        <v>02.03.04.04.01</v>
      </c>
      <c r="C141" s="361" t="s">
        <v>383</v>
      </c>
      <c r="D141" s="362" t="s">
        <v>21</v>
      </c>
      <c r="E141" s="359"/>
      <c r="F141" s="364" t="s">
        <v>363</v>
      </c>
      <c r="G141" s="364"/>
      <c r="H141" s="364"/>
      <c r="I141" s="366">
        <f>SUM(I142:I144)</f>
        <v>0.5</v>
      </c>
      <c r="J141" s="366">
        <f>+I141*E140</f>
        <v>0.5</v>
      </c>
      <c r="K141" s="302"/>
      <c r="L141" s="302"/>
    </row>
    <row r="142" spans="1:12" ht="13.5" x14ac:dyDescent="0.2">
      <c r="A142" s="302"/>
      <c r="B142" s="378"/>
      <c r="C142" s="377" t="s">
        <v>364</v>
      </c>
      <c r="D142" s="362"/>
      <c r="E142" s="363">
        <v>1</v>
      </c>
      <c r="F142" s="364">
        <v>3.33</v>
      </c>
      <c r="G142" s="364"/>
      <c r="H142" s="364">
        <v>0.15</v>
      </c>
      <c r="I142" s="365">
        <f>+ROUND(PRODUCT(E142:H142),2)</f>
        <v>0.5</v>
      </c>
      <c r="J142" s="369"/>
      <c r="K142" s="302"/>
      <c r="L142" s="302"/>
    </row>
    <row r="143" spans="1:12" ht="13.5" x14ac:dyDescent="0.2">
      <c r="A143" s="302"/>
      <c r="B143" s="378"/>
      <c r="C143" s="377" t="s">
        <v>365</v>
      </c>
      <c r="D143" s="362"/>
      <c r="E143" s="363">
        <v>-1</v>
      </c>
      <c r="F143" s="364">
        <v>0.18</v>
      </c>
      <c r="G143" s="364"/>
      <c r="H143" s="364">
        <v>0.15</v>
      </c>
      <c r="I143" s="365">
        <f>+ROUND(PRODUCT(E143:H143),2)</f>
        <v>-0.03</v>
      </c>
      <c r="J143" s="369"/>
      <c r="K143" s="302"/>
      <c r="L143" s="302"/>
    </row>
    <row r="144" spans="1:12" ht="13.5" x14ac:dyDescent="0.2">
      <c r="A144" s="302"/>
      <c r="B144" s="378"/>
      <c r="C144" s="377" t="s">
        <v>366</v>
      </c>
      <c r="D144" s="362"/>
      <c r="E144" s="363">
        <v>1</v>
      </c>
      <c r="F144" s="364">
        <v>0.38479999999999998</v>
      </c>
      <c r="G144" s="364"/>
      <c r="H144" s="364">
        <v>0.08</v>
      </c>
      <c r="I144" s="365">
        <f>+ROUND(PRODUCT(E144:H144),2)</f>
        <v>0.03</v>
      </c>
      <c r="J144" s="369"/>
      <c r="K144" s="302"/>
      <c r="L144" s="302"/>
    </row>
    <row r="145" spans="1:12" ht="13.5" x14ac:dyDescent="0.25">
      <c r="A145" s="302"/>
      <c r="B145" s="367"/>
      <c r="C145" s="381"/>
      <c r="D145" s="362"/>
      <c r="E145" s="363"/>
      <c r="F145" s="364"/>
      <c r="G145" s="364"/>
      <c r="H145" s="364"/>
      <c r="I145" s="365"/>
      <c r="J145" s="369"/>
      <c r="K145" s="302"/>
      <c r="L145" s="302"/>
    </row>
    <row r="146" spans="1:12" ht="13.5" x14ac:dyDescent="0.2">
      <c r="A146" s="302"/>
      <c r="B146" s="335" t="str">
        <f>$B$140 &amp; ".01"</f>
        <v>02.03.04.04.01</v>
      </c>
      <c r="C146" s="361" t="s">
        <v>226</v>
      </c>
      <c r="D146" s="362" t="s">
        <v>34</v>
      </c>
      <c r="E146" s="363"/>
      <c r="F146" s="364"/>
      <c r="G146" s="364"/>
      <c r="H146" s="364"/>
      <c r="I146" s="365">
        <f>SUM(I148:I152)</f>
        <v>44.26</v>
      </c>
      <c r="J146" s="366">
        <f>+I146*E140</f>
        <v>44.26</v>
      </c>
      <c r="K146" s="302"/>
      <c r="L146" s="302"/>
    </row>
    <row r="147" spans="1:12" ht="14.25" thickBot="1" x14ac:dyDescent="0.25">
      <c r="A147" s="302"/>
      <c r="B147" s="378"/>
      <c r="C147" s="382"/>
      <c r="D147" s="362"/>
      <c r="E147" s="383" t="s">
        <v>227</v>
      </c>
      <c r="F147" s="384" t="s">
        <v>228</v>
      </c>
      <c r="G147" s="384" t="s">
        <v>229</v>
      </c>
      <c r="H147" s="384" t="s">
        <v>230</v>
      </c>
      <c r="I147" s="365"/>
      <c r="J147" s="366"/>
      <c r="K147" s="302"/>
      <c r="L147" s="302"/>
    </row>
    <row r="148" spans="1:12" ht="13.5" x14ac:dyDescent="0.2">
      <c r="A148" s="302"/>
      <c r="B148" s="378"/>
      <c r="C148" s="377" t="s">
        <v>367</v>
      </c>
      <c r="D148" s="362"/>
      <c r="E148" s="349">
        <v>0.375</v>
      </c>
      <c r="F148" s="364">
        <v>12</v>
      </c>
      <c r="G148" s="364">
        <v>1.65</v>
      </c>
      <c r="H148" s="364">
        <v>0.56000000000000005</v>
      </c>
      <c r="I148" s="365">
        <f>+ROUND(PRODUCT(E148:H148),2)</f>
        <v>4.16</v>
      </c>
      <c r="J148" s="369"/>
      <c r="K148" s="302"/>
      <c r="L148" s="302"/>
    </row>
    <row r="149" spans="1:12" ht="13.5" x14ac:dyDescent="0.2">
      <c r="A149" s="302"/>
      <c r="B149" s="378"/>
      <c r="C149" s="377" t="s">
        <v>368</v>
      </c>
      <c r="D149" s="362"/>
      <c r="E149" s="349">
        <v>0.375</v>
      </c>
      <c r="F149" s="364">
        <v>12</v>
      </c>
      <c r="G149" s="364">
        <v>1.65</v>
      </c>
      <c r="H149" s="364">
        <v>0.56000000000000005</v>
      </c>
      <c r="I149" s="365">
        <f>+ROUND(PRODUCT(E149:H149),2)</f>
        <v>4.16</v>
      </c>
      <c r="J149" s="369"/>
      <c r="K149" s="302"/>
      <c r="L149" s="302"/>
    </row>
    <row r="150" spans="1:12" ht="13.5" x14ac:dyDescent="0.2">
      <c r="A150" s="302"/>
      <c r="B150" s="378"/>
      <c r="C150" s="377" t="s">
        <v>369</v>
      </c>
      <c r="D150" s="362"/>
      <c r="E150" s="349">
        <v>0.375</v>
      </c>
      <c r="F150" s="364">
        <v>8</v>
      </c>
      <c r="G150" s="364">
        <v>1.0623</v>
      </c>
      <c r="H150" s="364">
        <v>0.56000000000000005</v>
      </c>
      <c r="I150" s="365">
        <f>+ROUND(PRODUCT(E150:H150),2)</f>
        <v>1.78</v>
      </c>
      <c r="J150" s="369"/>
      <c r="K150" s="302"/>
      <c r="L150" s="302"/>
    </row>
    <row r="151" spans="1:12" ht="13.5" x14ac:dyDescent="0.2">
      <c r="A151" s="302"/>
      <c r="B151" s="378"/>
      <c r="C151" s="377" t="s">
        <v>370</v>
      </c>
      <c r="D151" s="362"/>
      <c r="E151" s="349">
        <v>0.375</v>
      </c>
      <c r="F151" s="364">
        <v>5</v>
      </c>
      <c r="G151" s="364">
        <v>0.44319999999999998</v>
      </c>
      <c r="H151" s="364">
        <v>0.56000000000000005</v>
      </c>
      <c r="I151" s="365">
        <f>+ROUND(PRODUCT(E151:H151),2)</f>
        <v>0.47</v>
      </c>
      <c r="J151" s="369"/>
      <c r="K151" s="302"/>
      <c r="L151" s="302"/>
    </row>
    <row r="152" spans="1:12" ht="13.5" x14ac:dyDescent="0.2">
      <c r="A152" s="302"/>
      <c r="B152" s="367"/>
      <c r="C152" s="377" t="s">
        <v>371</v>
      </c>
      <c r="D152" s="362"/>
      <c r="E152" s="349">
        <v>0.375</v>
      </c>
      <c r="F152" s="364">
        <v>5</v>
      </c>
      <c r="G152" s="364">
        <v>0.44319999999999998</v>
      </c>
      <c r="H152" s="364">
        <v>0.56000000000000005</v>
      </c>
      <c r="I152" s="365">
        <v>33.69</v>
      </c>
      <c r="J152" s="369"/>
      <c r="K152" s="302"/>
      <c r="L152" s="302"/>
    </row>
    <row r="153" spans="1:12" ht="13.5" x14ac:dyDescent="0.25">
      <c r="A153" s="302"/>
      <c r="B153" s="367"/>
      <c r="C153" s="374"/>
      <c r="D153" s="362"/>
      <c r="E153" s="363"/>
      <c r="F153" s="364"/>
      <c r="G153" s="364"/>
      <c r="H153" s="364"/>
      <c r="I153" s="365"/>
      <c r="J153" s="369"/>
      <c r="K153" s="302"/>
      <c r="L153" s="302"/>
    </row>
    <row r="154" spans="1:12" ht="13.5" x14ac:dyDescent="0.2">
      <c r="A154" s="302"/>
      <c r="B154" s="328" t="str">
        <f>$B$109 &amp; ".05"</f>
        <v>02.03.04.05</v>
      </c>
      <c r="C154" s="358" t="s">
        <v>372</v>
      </c>
      <c r="D154" s="358"/>
      <c r="E154" s="359">
        <f>E110</f>
        <v>1</v>
      </c>
      <c r="F154" s="360"/>
      <c r="G154" s="360"/>
      <c r="H154" s="360"/>
      <c r="I154" s="360"/>
      <c r="J154" s="360"/>
      <c r="K154" s="302"/>
      <c r="L154" s="302"/>
    </row>
    <row r="155" spans="1:12" ht="15.75" customHeight="1" x14ac:dyDescent="0.2">
      <c r="A155" s="302"/>
      <c r="B155" s="335" t="str">
        <f>$B$154 &amp; ".01"</f>
        <v>02.03.04.05.01</v>
      </c>
      <c r="C155" s="385" t="s">
        <v>373</v>
      </c>
      <c r="D155" s="362" t="s">
        <v>14</v>
      </c>
      <c r="E155" s="363">
        <v>1</v>
      </c>
      <c r="F155" s="364">
        <v>4.46</v>
      </c>
      <c r="G155" s="364"/>
      <c r="H155" s="364">
        <v>2.4</v>
      </c>
      <c r="I155" s="365">
        <f>+ROUND(PRODUCT(E155:H155),2)</f>
        <v>10.7</v>
      </c>
      <c r="J155" s="366">
        <f>I155*E154</f>
        <v>10.7</v>
      </c>
      <c r="K155" s="302"/>
      <c r="L155" s="302"/>
    </row>
    <row r="156" spans="1:12" ht="13.5" x14ac:dyDescent="0.25">
      <c r="A156" s="302"/>
      <c r="B156" s="367"/>
      <c r="C156" s="386"/>
      <c r="D156" s="362"/>
      <c r="E156" s="363"/>
      <c r="F156" s="364"/>
      <c r="G156" s="364"/>
      <c r="H156" s="364"/>
      <c r="I156" s="365"/>
      <c r="J156" s="369"/>
      <c r="K156" s="302"/>
      <c r="L156" s="302"/>
    </row>
    <row r="157" spans="1:12" ht="13.5" x14ac:dyDescent="0.2">
      <c r="A157" s="302"/>
      <c r="B157" s="328" t="str">
        <f>$B$109 &amp; ".06"</f>
        <v>02.03.04.06</v>
      </c>
      <c r="C157" s="358" t="s">
        <v>374</v>
      </c>
      <c r="D157" s="358"/>
      <c r="E157" s="359">
        <f>E110</f>
        <v>1</v>
      </c>
      <c r="F157" s="360"/>
      <c r="G157" s="360"/>
      <c r="H157" s="360"/>
      <c r="I157" s="360"/>
      <c r="J157" s="360"/>
      <c r="K157" s="302"/>
      <c r="L157" s="302"/>
    </row>
    <row r="158" spans="1:12" ht="13.5" x14ac:dyDescent="0.2">
      <c r="A158" s="302"/>
      <c r="B158" s="335" t="str">
        <f>$B$157 &amp; ".01"</f>
        <v>02.03.04.06.01</v>
      </c>
      <c r="C158" s="387" t="s">
        <v>375</v>
      </c>
      <c r="D158" s="362" t="s">
        <v>376</v>
      </c>
      <c r="E158" s="363">
        <v>2</v>
      </c>
      <c r="F158" s="388"/>
      <c r="G158" s="388"/>
      <c r="H158" s="388"/>
      <c r="I158" s="389">
        <f>+ROUND(PRODUCT(E158:H158),3)</f>
        <v>2</v>
      </c>
      <c r="J158" s="366">
        <f>+I158*E157</f>
        <v>2</v>
      </c>
      <c r="K158" s="302"/>
      <c r="L158" s="302"/>
    </row>
    <row r="159" spans="1:12" ht="13.5" x14ac:dyDescent="0.25">
      <c r="A159" s="302"/>
      <c r="B159" s="367"/>
      <c r="C159" s="386"/>
      <c r="D159" s="362"/>
      <c r="E159" s="363"/>
      <c r="F159" s="364"/>
      <c r="G159" s="364"/>
      <c r="H159" s="364"/>
      <c r="I159" s="365"/>
      <c r="J159" s="369"/>
      <c r="K159" s="302"/>
      <c r="L159" s="302"/>
    </row>
    <row r="160" spans="1:12" ht="13.5" x14ac:dyDescent="0.2">
      <c r="A160" s="302"/>
      <c r="B160" s="328" t="str">
        <f>$B$109 &amp; ".07"</f>
        <v>02.03.04.07</v>
      </c>
      <c r="C160" s="390" t="s">
        <v>258</v>
      </c>
      <c r="D160" s="358"/>
      <c r="E160" s="359">
        <f>E110</f>
        <v>1</v>
      </c>
      <c r="F160" s="360"/>
      <c r="G160" s="360"/>
      <c r="H160" s="360"/>
      <c r="I160" s="360"/>
      <c r="J160" s="360"/>
      <c r="K160" s="302"/>
      <c r="L160" s="302"/>
    </row>
    <row r="161" spans="1:13" ht="13.5" x14ac:dyDescent="0.2">
      <c r="A161" s="302"/>
      <c r="B161" s="335" t="str">
        <f>$B$160 &amp; ".01"</f>
        <v>02.03.04.07.01</v>
      </c>
      <c r="C161" s="387" t="s">
        <v>256</v>
      </c>
      <c r="D161" s="362" t="s">
        <v>29</v>
      </c>
      <c r="E161" s="363">
        <v>1</v>
      </c>
      <c r="F161" s="364">
        <v>2</v>
      </c>
      <c r="G161" s="388"/>
      <c r="H161" s="388"/>
      <c r="I161" s="389">
        <f>+ROUND(PRODUCT(E161:H161),2)</f>
        <v>2</v>
      </c>
      <c r="J161" s="366">
        <f>+I161*E160</f>
        <v>2</v>
      </c>
      <c r="K161" s="302"/>
      <c r="L161" s="302"/>
    </row>
    <row r="162" spans="1:13" ht="13.5" x14ac:dyDescent="0.2">
      <c r="A162" s="302"/>
      <c r="B162" s="335" t="str">
        <f>$B$160 &amp; ".02"</f>
        <v>02.03.04.07.02</v>
      </c>
      <c r="C162" s="387" t="s">
        <v>394</v>
      </c>
      <c r="D162" s="362" t="s">
        <v>376</v>
      </c>
      <c r="E162" s="363">
        <v>1</v>
      </c>
      <c r="F162" s="388"/>
      <c r="G162" s="388"/>
      <c r="H162" s="388"/>
      <c r="I162" s="389">
        <f>+ROUND(PRODUCT(E162:H162),2)</f>
        <v>1</v>
      </c>
      <c r="J162" s="366">
        <f>+I162*E160</f>
        <v>1</v>
      </c>
      <c r="K162" s="302"/>
      <c r="L162" s="302"/>
    </row>
    <row r="163" spans="1:13" ht="13.5" x14ac:dyDescent="0.25">
      <c r="A163" s="302"/>
      <c r="B163" s="335"/>
      <c r="C163" s="391"/>
      <c r="D163" s="337"/>
      <c r="E163" s="338"/>
      <c r="F163" s="333"/>
      <c r="G163" s="333"/>
      <c r="H163" s="333"/>
      <c r="I163" s="333"/>
      <c r="J163" s="339"/>
      <c r="K163" s="302"/>
      <c r="L163" s="302"/>
    </row>
    <row r="164" spans="1:13" ht="13.5" x14ac:dyDescent="0.25">
      <c r="A164" s="302"/>
      <c r="B164" s="323" t="s">
        <v>378</v>
      </c>
      <c r="C164" s="324" t="s">
        <v>270</v>
      </c>
      <c r="D164" s="325"/>
      <c r="E164" s="326"/>
      <c r="F164" s="325"/>
      <c r="G164" s="326"/>
      <c r="H164" s="325"/>
      <c r="I164" s="326"/>
      <c r="J164" s="327"/>
      <c r="K164" s="302"/>
      <c r="L164" s="302"/>
    </row>
    <row r="165" spans="1:13" ht="13.5" x14ac:dyDescent="0.2">
      <c r="A165" s="302"/>
      <c r="B165" s="328" t="str">
        <f>$B$164 &amp; ".01"</f>
        <v>02.03.05.01</v>
      </c>
      <c r="C165" s="329" t="s">
        <v>13</v>
      </c>
      <c r="D165" s="330"/>
      <c r="E165" s="331">
        <f>E110</f>
        <v>1</v>
      </c>
      <c r="F165" s="332"/>
      <c r="G165" s="333"/>
      <c r="H165" s="333"/>
      <c r="I165" s="333"/>
      <c r="J165" s="334"/>
      <c r="K165" s="302"/>
      <c r="L165" s="302" t="s">
        <v>315</v>
      </c>
      <c r="M165" s="392">
        <v>8.5</v>
      </c>
    </row>
    <row r="166" spans="1:13" ht="13.5" x14ac:dyDescent="0.2">
      <c r="A166" s="302"/>
      <c r="B166" s="335" t="str">
        <f>$B$165 &amp; ".01"</f>
        <v>02.03.05.01.01</v>
      </c>
      <c r="C166" s="257" t="s">
        <v>217</v>
      </c>
      <c r="D166" s="330" t="s">
        <v>29</v>
      </c>
      <c r="E166" s="393">
        <v>1</v>
      </c>
      <c r="F166" s="333">
        <f>+M165</f>
        <v>8.5</v>
      </c>
      <c r="G166" s="333"/>
      <c r="H166" s="333"/>
      <c r="I166" s="333">
        <f t="shared" ref="I166:I170" si="4">+ROUND(PRODUCT(E166:H166),2)</f>
        <v>8.5</v>
      </c>
      <c r="J166" s="339">
        <f>+$E$165*I166</f>
        <v>8.5</v>
      </c>
      <c r="K166" s="302"/>
      <c r="L166" s="302" t="s">
        <v>314</v>
      </c>
      <c r="M166" s="392">
        <v>6.5</v>
      </c>
    </row>
    <row r="167" spans="1:13" ht="13.5" x14ac:dyDescent="0.2">
      <c r="A167" s="302"/>
      <c r="B167" s="335"/>
      <c r="C167" s="257"/>
      <c r="D167" s="330"/>
      <c r="E167" s="393"/>
      <c r="F167" s="333"/>
      <c r="G167" s="333"/>
      <c r="H167" s="333"/>
      <c r="I167" s="333"/>
      <c r="J167" s="339"/>
      <c r="K167" s="302"/>
      <c r="L167" s="302"/>
      <c r="M167" s="392"/>
    </row>
    <row r="168" spans="1:13" ht="13.5" x14ac:dyDescent="0.2">
      <c r="A168" s="302"/>
      <c r="B168" s="335" t="str">
        <f>$B$165 &amp; ".02"</f>
        <v>02.03.05.01.02</v>
      </c>
      <c r="C168" s="257" t="s">
        <v>271</v>
      </c>
      <c r="D168" s="330" t="s">
        <v>29</v>
      </c>
      <c r="E168" s="393">
        <v>1</v>
      </c>
      <c r="F168" s="333">
        <f>F166</f>
        <v>8.5</v>
      </c>
      <c r="G168" s="333"/>
      <c r="H168" s="333"/>
      <c r="I168" s="333">
        <f t="shared" si="4"/>
        <v>8.5</v>
      </c>
      <c r="J168" s="339">
        <f>+$E$165*I168</f>
        <v>8.5</v>
      </c>
      <c r="K168" s="302"/>
    </row>
    <row r="169" spans="1:13" ht="13.5" x14ac:dyDescent="0.2">
      <c r="A169" s="302"/>
      <c r="B169" s="335"/>
      <c r="C169" s="257"/>
      <c r="D169" s="330"/>
      <c r="E169" s="393"/>
      <c r="F169" s="333"/>
      <c r="G169" s="333"/>
      <c r="H169" s="333"/>
      <c r="I169" s="333"/>
      <c r="J169" s="339"/>
      <c r="K169" s="302"/>
    </row>
    <row r="170" spans="1:13" ht="13.5" x14ac:dyDescent="0.2">
      <c r="A170" s="302"/>
      <c r="B170" s="335" t="str">
        <f>$B$165 &amp; ".03"</f>
        <v>02.03.05.01.03</v>
      </c>
      <c r="C170" s="257" t="s">
        <v>272</v>
      </c>
      <c r="D170" s="330" t="s">
        <v>29</v>
      </c>
      <c r="E170" s="393">
        <v>1</v>
      </c>
      <c r="F170" s="333">
        <f>F166</f>
        <v>8.5</v>
      </c>
      <c r="G170" s="333"/>
      <c r="H170" s="333"/>
      <c r="I170" s="333">
        <f t="shared" si="4"/>
        <v>8.5</v>
      </c>
      <c r="J170" s="339">
        <f>+$E$165*I170</f>
        <v>8.5</v>
      </c>
      <c r="K170" s="302"/>
      <c r="L170" s="302"/>
    </row>
    <row r="171" spans="1:13" ht="13.5" x14ac:dyDescent="0.2">
      <c r="A171" s="302"/>
      <c r="B171" s="335"/>
      <c r="C171" s="262"/>
      <c r="D171" s="330"/>
      <c r="E171" s="393"/>
      <c r="F171" s="333"/>
      <c r="G171" s="333"/>
      <c r="H171" s="333"/>
      <c r="I171" s="333"/>
      <c r="J171" s="339"/>
      <c r="K171" s="302"/>
      <c r="L171" s="302"/>
    </row>
    <row r="172" spans="1:13" ht="13.5" x14ac:dyDescent="0.2">
      <c r="A172" s="302"/>
      <c r="B172" s="335" t="str">
        <f>$B$165 &amp; ".04"</f>
        <v>02.03.05.01.04</v>
      </c>
      <c r="C172" s="257" t="s">
        <v>341</v>
      </c>
      <c r="D172" s="330" t="s">
        <v>14</v>
      </c>
      <c r="E172" s="393">
        <v>1</v>
      </c>
      <c r="F172" s="333"/>
      <c r="G172" s="333"/>
      <c r="H172" s="333"/>
      <c r="I172" s="332">
        <f>SUM(I173:I175)</f>
        <v>1.04</v>
      </c>
      <c r="J172" s="339">
        <f>I172*E165</f>
        <v>1.04</v>
      </c>
      <c r="K172" s="302"/>
      <c r="L172" s="302"/>
    </row>
    <row r="173" spans="1:13" ht="13.5" x14ac:dyDescent="0.2">
      <c r="A173" s="302"/>
      <c r="B173" s="335"/>
      <c r="C173" s="263" t="s">
        <v>342</v>
      </c>
      <c r="D173" s="330"/>
      <c r="E173" s="393">
        <v>1</v>
      </c>
      <c r="F173" s="333">
        <v>0.7</v>
      </c>
      <c r="G173" s="333">
        <v>0.4</v>
      </c>
      <c r="H173" s="333"/>
      <c r="I173" s="333">
        <f t="shared" ref="I173:I175" si="5">+ROUND(PRODUCT(E173:H173),2)</f>
        <v>0.28000000000000003</v>
      </c>
      <c r="J173" s="339"/>
      <c r="K173" s="302"/>
      <c r="L173" s="302"/>
    </row>
    <row r="174" spans="1:13" ht="13.5" x14ac:dyDescent="0.2">
      <c r="A174" s="302"/>
      <c r="B174" s="335"/>
      <c r="C174" s="263" t="s">
        <v>343</v>
      </c>
      <c r="D174" s="330"/>
      <c r="E174" s="393">
        <v>1</v>
      </c>
      <c r="F174" s="333">
        <v>0.8</v>
      </c>
      <c r="G174" s="333">
        <v>0.5</v>
      </c>
      <c r="H174" s="333"/>
      <c r="I174" s="333">
        <f t="shared" si="5"/>
        <v>0.4</v>
      </c>
      <c r="J174" s="339"/>
      <c r="K174" s="302"/>
      <c r="L174" s="302"/>
    </row>
    <row r="175" spans="1:13" ht="13.5" x14ac:dyDescent="0.2">
      <c r="A175" s="302"/>
      <c r="B175" s="335"/>
      <c r="C175" s="264" t="s">
        <v>344</v>
      </c>
      <c r="D175" s="330"/>
      <c r="E175" s="393">
        <v>1</v>
      </c>
      <c r="F175" s="333">
        <v>0.6</v>
      </c>
      <c r="G175" s="333">
        <v>0.6</v>
      </c>
      <c r="H175" s="333"/>
      <c r="I175" s="333">
        <f t="shared" si="5"/>
        <v>0.36</v>
      </c>
      <c r="J175" s="339"/>
      <c r="K175" s="302"/>
      <c r="L175" s="302"/>
    </row>
    <row r="176" spans="1:13" ht="13.5" x14ac:dyDescent="0.2">
      <c r="A176" s="302"/>
      <c r="B176" s="335"/>
      <c r="C176" s="264"/>
      <c r="D176" s="330"/>
      <c r="E176" s="393"/>
      <c r="F176" s="333"/>
      <c r="G176" s="333"/>
      <c r="H176" s="333"/>
      <c r="I176" s="333"/>
      <c r="J176" s="339"/>
      <c r="K176" s="302"/>
      <c r="L176" s="302"/>
    </row>
    <row r="177" spans="1:12" ht="13.5" x14ac:dyDescent="0.2">
      <c r="A177" s="302"/>
      <c r="B177" s="335" t="str">
        <f>$B$165 &amp; ".05"</f>
        <v>02.03.05.01.05</v>
      </c>
      <c r="C177" s="257" t="s">
        <v>218</v>
      </c>
      <c r="D177" s="330" t="s">
        <v>14</v>
      </c>
      <c r="E177" s="393">
        <v>1</v>
      </c>
      <c r="F177" s="333"/>
      <c r="G177" s="333"/>
      <c r="H177" s="333"/>
      <c r="I177" s="332">
        <f>SUM(I178:I180)</f>
        <v>1.04</v>
      </c>
      <c r="J177" s="339">
        <f>+$E$165*I177</f>
        <v>1.04</v>
      </c>
      <c r="K177" s="302"/>
      <c r="L177" s="302"/>
    </row>
    <row r="178" spans="1:12" ht="13.5" x14ac:dyDescent="0.2">
      <c r="A178" s="302"/>
      <c r="B178" s="335"/>
      <c r="C178" s="263" t="s">
        <v>342</v>
      </c>
      <c r="D178" s="330"/>
      <c r="E178" s="393">
        <v>1</v>
      </c>
      <c r="F178" s="333">
        <f t="shared" ref="F178:G180" si="6">F173</f>
        <v>0.7</v>
      </c>
      <c r="G178" s="333">
        <f t="shared" si="6"/>
        <v>0.4</v>
      </c>
      <c r="H178" s="333"/>
      <c r="I178" s="333">
        <f t="shared" ref="I178:I180" si="7">+ROUND(PRODUCT(E178:H178),2)</f>
        <v>0.28000000000000003</v>
      </c>
      <c r="J178" s="339"/>
      <c r="K178" s="302"/>
      <c r="L178" s="302"/>
    </row>
    <row r="179" spans="1:12" ht="13.5" x14ac:dyDescent="0.2">
      <c r="A179" s="302"/>
      <c r="B179" s="335"/>
      <c r="C179" s="263" t="s">
        <v>343</v>
      </c>
      <c r="D179" s="330"/>
      <c r="E179" s="393">
        <v>1</v>
      </c>
      <c r="F179" s="333">
        <f t="shared" si="6"/>
        <v>0.8</v>
      </c>
      <c r="G179" s="333">
        <f t="shared" si="6"/>
        <v>0.5</v>
      </c>
      <c r="H179" s="333"/>
      <c r="I179" s="333">
        <f t="shared" si="7"/>
        <v>0.4</v>
      </c>
      <c r="J179" s="339"/>
      <c r="K179" s="302"/>
      <c r="L179" s="302"/>
    </row>
    <row r="180" spans="1:12" ht="13.5" x14ac:dyDescent="0.2">
      <c r="A180" s="302"/>
      <c r="B180" s="335"/>
      <c r="C180" s="264" t="s">
        <v>344</v>
      </c>
      <c r="D180" s="330"/>
      <c r="E180" s="393">
        <v>1</v>
      </c>
      <c r="F180" s="333">
        <f t="shared" si="6"/>
        <v>0.6</v>
      </c>
      <c r="G180" s="333">
        <f t="shared" si="6"/>
        <v>0.6</v>
      </c>
      <c r="H180" s="333"/>
      <c r="I180" s="333">
        <f t="shared" si="7"/>
        <v>0.36</v>
      </c>
      <c r="J180" s="339"/>
      <c r="K180" s="302"/>
      <c r="L180" s="302"/>
    </row>
    <row r="181" spans="1:12" ht="13.5" x14ac:dyDescent="0.2">
      <c r="A181" s="302"/>
      <c r="B181" s="335"/>
      <c r="C181" s="262"/>
      <c r="D181" s="330"/>
      <c r="E181" s="393"/>
      <c r="F181" s="333"/>
      <c r="G181" s="333"/>
      <c r="H181" s="333"/>
      <c r="I181" s="333"/>
      <c r="J181" s="339"/>
      <c r="K181" s="302"/>
      <c r="L181" s="302"/>
    </row>
    <row r="182" spans="1:12" ht="13.5" x14ac:dyDescent="0.2">
      <c r="A182" s="302"/>
      <c r="B182" s="335" t="str">
        <f>$B$165 &amp; ".06"</f>
        <v>02.03.05.01.06</v>
      </c>
      <c r="C182" s="262" t="s">
        <v>219</v>
      </c>
      <c r="D182" s="330" t="s">
        <v>14</v>
      </c>
      <c r="E182" s="393">
        <v>1</v>
      </c>
      <c r="F182" s="333"/>
      <c r="G182" s="333"/>
      <c r="H182" s="333"/>
      <c r="I182" s="332">
        <f>SUM(I183:I185)</f>
        <v>1.04</v>
      </c>
      <c r="J182" s="339">
        <f>+$E$165*I182</f>
        <v>1.04</v>
      </c>
      <c r="K182" s="302"/>
      <c r="L182" s="302"/>
    </row>
    <row r="183" spans="1:12" ht="13.5" x14ac:dyDescent="0.2">
      <c r="A183" s="302"/>
      <c r="B183" s="335"/>
      <c r="C183" s="263" t="s">
        <v>342</v>
      </c>
      <c r="D183" s="330"/>
      <c r="E183" s="393">
        <v>1</v>
      </c>
      <c r="F183" s="333">
        <f t="shared" ref="F183:G185" si="8">F178</f>
        <v>0.7</v>
      </c>
      <c r="G183" s="333">
        <f t="shared" si="8"/>
        <v>0.4</v>
      </c>
      <c r="H183" s="333"/>
      <c r="I183" s="333">
        <f t="shared" ref="I183:I185" si="9">+ROUND(PRODUCT(E183:H183),2)</f>
        <v>0.28000000000000003</v>
      </c>
      <c r="J183" s="339"/>
      <c r="K183" s="302"/>
      <c r="L183" s="302"/>
    </row>
    <row r="184" spans="1:12" ht="13.5" x14ac:dyDescent="0.2">
      <c r="A184" s="302"/>
      <c r="B184" s="335"/>
      <c r="C184" s="263" t="s">
        <v>343</v>
      </c>
      <c r="D184" s="330"/>
      <c r="E184" s="393">
        <v>1</v>
      </c>
      <c r="F184" s="333">
        <f t="shared" si="8"/>
        <v>0.8</v>
      </c>
      <c r="G184" s="333">
        <f t="shared" si="8"/>
        <v>0.5</v>
      </c>
      <c r="H184" s="333"/>
      <c r="I184" s="333">
        <f t="shared" si="9"/>
        <v>0.4</v>
      </c>
      <c r="J184" s="339"/>
      <c r="K184" s="302"/>
      <c r="L184" s="302"/>
    </row>
    <row r="185" spans="1:12" ht="13.5" x14ac:dyDescent="0.2">
      <c r="A185" s="302"/>
      <c r="B185" s="335"/>
      <c r="C185" s="264" t="s">
        <v>344</v>
      </c>
      <c r="D185" s="330"/>
      <c r="E185" s="393">
        <v>1</v>
      </c>
      <c r="F185" s="333">
        <f t="shared" si="8"/>
        <v>0.6</v>
      </c>
      <c r="G185" s="333">
        <f t="shared" si="8"/>
        <v>0.6</v>
      </c>
      <c r="H185" s="333"/>
      <c r="I185" s="333">
        <f t="shared" si="9"/>
        <v>0.36</v>
      </c>
      <c r="J185" s="339"/>
      <c r="K185" s="302"/>
      <c r="L185" s="302"/>
    </row>
    <row r="186" spans="1:12" ht="13.5" x14ac:dyDescent="0.2">
      <c r="A186" s="302"/>
      <c r="B186" s="335"/>
      <c r="C186" s="262"/>
      <c r="D186" s="330"/>
      <c r="E186" s="393"/>
      <c r="F186" s="333"/>
      <c r="G186" s="333"/>
      <c r="H186" s="333"/>
      <c r="I186" s="333"/>
      <c r="J186" s="339"/>
      <c r="K186" s="302"/>
      <c r="L186" s="302"/>
    </row>
    <row r="187" spans="1:12" ht="13.5" x14ac:dyDescent="0.25">
      <c r="A187" s="302"/>
      <c r="B187" s="328" t="str">
        <f>$B$164 &amp; ".02"</f>
        <v>02.03.05.02</v>
      </c>
      <c r="C187" s="258" t="s">
        <v>19</v>
      </c>
      <c r="D187" s="330"/>
      <c r="E187" s="331"/>
      <c r="F187" s="332"/>
      <c r="G187" s="333"/>
      <c r="H187" s="333"/>
      <c r="I187" s="333"/>
      <c r="J187" s="334"/>
      <c r="K187" s="302"/>
      <c r="L187" s="302"/>
    </row>
    <row r="188" spans="1:12" ht="13.5" x14ac:dyDescent="0.2">
      <c r="A188" s="302"/>
      <c r="B188" s="335" t="str">
        <f>$B$187 &amp; ".01"</f>
        <v>02.03.05.02.01</v>
      </c>
      <c r="C188" s="415" t="s">
        <v>233</v>
      </c>
      <c r="D188" s="330" t="s">
        <v>21</v>
      </c>
      <c r="E188" s="393">
        <v>1</v>
      </c>
      <c r="F188" s="333">
        <f>F166</f>
        <v>8.5</v>
      </c>
      <c r="G188" s="333">
        <v>0.4</v>
      </c>
      <c r="H188" s="333">
        <v>0.6</v>
      </c>
      <c r="I188" s="333">
        <f>+ROUND(PRODUCT(E188:H188),2)</f>
        <v>2.04</v>
      </c>
      <c r="J188" s="339">
        <f>+$E$165*I188</f>
        <v>2.04</v>
      </c>
      <c r="K188" s="302"/>
      <c r="L188" s="302"/>
    </row>
    <row r="189" spans="1:12" ht="13.5" x14ac:dyDescent="0.2">
      <c r="A189" s="302"/>
      <c r="B189" s="335"/>
      <c r="C189" s="336"/>
      <c r="D189" s="330"/>
      <c r="E189" s="393"/>
      <c r="F189" s="333"/>
      <c r="G189" s="333"/>
      <c r="H189" s="333"/>
      <c r="I189" s="333"/>
      <c r="J189" s="339"/>
      <c r="K189" s="302"/>
      <c r="L189" s="302"/>
    </row>
    <row r="190" spans="1:12" ht="13.5" x14ac:dyDescent="0.2">
      <c r="A190" s="302"/>
      <c r="B190" s="335" t="str">
        <f>$B$187 &amp; ".02"</f>
        <v>02.03.05.02.02</v>
      </c>
      <c r="C190" s="336" t="s">
        <v>234</v>
      </c>
      <c r="D190" s="330" t="s">
        <v>14</v>
      </c>
      <c r="E190" s="393">
        <v>1</v>
      </c>
      <c r="F190" s="333">
        <f>F166</f>
        <v>8.5</v>
      </c>
      <c r="G190" s="333">
        <v>0.4</v>
      </c>
      <c r="H190" s="333"/>
      <c r="I190" s="333">
        <f t="shared" ref="I190:I192" si="10">+ROUND(PRODUCT(E190:H190),2)</f>
        <v>3.4</v>
      </c>
      <c r="J190" s="339">
        <f>+$E$165*I190</f>
        <v>3.4</v>
      </c>
      <c r="K190" s="302"/>
      <c r="L190" s="302"/>
    </row>
    <row r="191" spans="1:12" ht="13.5" x14ac:dyDescent="0.2">
      <c r="A191" s="302"/>
      <c r="B191" s="335"/>
      <c r="C191" s="336"/>
      <c r="D191" s="330"/>
      <c r="E191" s="393"/>
      <c r="F191" s="333"/>
      <c r="G191" s="333"/>
      <c r="H191" s="333"/>
      <c r="I191" s="333"/>
      <c r="J191" s="339"/>
      <c r="K191" s="302"/>
      <c r="L191" s="302"/>
    </row>
    <row r="192" spans="1:12" ht="13.5" x14ac:dyDescent="0.2">
      <c r="A192" s="302"/>
      <c r="B192" s="335" t="str">
        <f>$B$187 &amp; ".03"</f>
        <v>02.03.05.02.03</v>
      </c>
      <c r="C192" s="336" t="s">
        <v>235</v>
      </c>
      <c r="D192" s="330" t="s">
        <v>21</v>
      </c>
      <c r="E192" s="393">
        <v>1</v>
      </c>
      <c r="F192" s="333">
        <f>F166</f>
        <v>8.5</v>
      </c>
      <c r="G192" s="333">
        <v>0.4</v>
      </c>
      <c r="H192" s="333">
        <v>0.6</v>
      </c>
      <c r="I192" s="333">
        <f t="shared" si="10"/>
        <v>2.04</v>
      </c>
      <c r="J192" s="339">
        <f>+$E$165*I192</f>
        <v>2.04</v>
      </c>
      <c r="K192" s="302"/>
      <c r="L192" s="302"/>
    </row>
    <row r="193" spans="1:12" ht="13.5" x14ac:dyDescent="0.2">
      <c r="A193" s="302"/>
      <c r="B193" s="335"/>
      <c r="C193" s="394"/>
      <c r="D193" s="330"/>
      <c r="E193" s="393"/>
      <c r="F193" s="333"/>
      <c r="G193" s="333"/>
      <c r="H193" s="333"/>
      <c r="I193" s="333"/>
      <c r="J193" s="339"/>
      <c r="K193" s="302"/>
      <c r="L193" s="302"/>
    </row>
    <row r="194" spans="1:12" ht="13.5" x14ac:dyDescent="0.2">
      <c r="A194" s="302"/>
      <c r="B194" s="335" t="str">
        <f>$B$187 &amp; ".04"</f>
        <v>02.03.05.02.04</v>
      </c>
      <c r="C194" s="336" t="s">
        <v>20</v>
      </c>
      <c r="D194" s="330" t="s">
        <v>21</v>
      </c>
      <c r="E194" s="393">
        <v>1</v>
      </c>
      <c r="F194" s="333"/>
      <c r="G194" s="333"/>
      <c r="H194" s="333"/>
      <c r="I194" s="332">
        <f>SUM(I195:I197)</f>
        <v>0.59</v>
      </c>
      <c r="J194" s="339">
        <f>+$E$165*I194</f>
        <v>0.59</v>
      </c>
      <c r="K194" s="302"/>
      <c r="L194" s="302"/>
    </row>
    <row r="195" spans="1:12" ht="13.5" x14ac:dyDescent="0.2">
      <c r="A195" s="302"/>
      <c r="B195" s="335"/>
      <c r="C195" s="263" t="s">
        <v>342</v>
      </c>
      <c r="D195" s="330"/>
      <c r="E195" s="393"/>
      <c r="F195" s="333">
        <f t="shared" ref="F195:G197" si="11">F183</f>
        <v>0.7</v>
      </c>
      <c r="G195" s="333">
        <f t="shared" si="11"/>
        <v>0.4</v>
      </c>
      <c r="H195" s="333">
        <v>0.55000000000000004</v>
      </c>
      <c r="I195" s="333">
        <f t="shared" ref="I195:I197" si="12">+ROUND(PRODUCT(E195:H195),2)</f>
        <v>0.15</v>
      </c>
      <c r="J195" s="339"/>
      <c r="K195" s="302"/>
      <c r="L195" s="302"/>
    </row>
    <row r="196" spans="1:12" ht="13.5" x14ac:dyDescent="0.2">
      <c r="A196" s="302"/>
      <c r="B196" s="335"/>
      <c r="C196" s="263" t="s">
        <v>343</v>
      </c>
      <c r="D196" s="337"/>
      <c r="E196" s="338"/>
      <c r="F196" s="333">
        <f t="shared" si="11"/>
        <v>0.8</v>
      </c>
      <c r="G196" s="333">
        <f t="shared" si="11"/>
        <v>0.5</v>
      </c>
      <c r="H196" s="333">
        <v>0.55000000000000004</v>
      </c>
      <c r="I196" s="333">
        <f t="shared" si="12"/>
        <v>0.22</v>
      </c>
      <c r="J196" s="339"/>
      <c r="K196" s="302"/>
      <c r="L196" s="302"/>
    </row>
    <row r="197" spans="1:12" ht="13.5" x14ac:dyDescent="0.2">
      <c r="A197" s="302"/>
      <c r="B197" s="335"/>
      <c r="C197" s="264" t="s">
        <v>344</v>
      </c>
      <c r="D197" s="337"/>
      <c r="E197" s="338"/>
      <c r="F197" s="333">
        <f t="shared" si="11"/>
        <v>0.6</v>
      </c>
      <c r="G197" s="333">
        <f t="shared" si="11"/>
        <v>0.6</v>
      </c>
      <c r="H197" s="333">
        <v>0.6</v>
      </c>
      <c r="I197" s="333">
        <f t="shared" si="12"/>
        <v>0.22</v>
      </c>
      <c r="J197" s="339"/>
      <c r="K197" s="302"/>
      <c r="L197" s="302"/>
    </row>
    <row r="198" spans="1:12" ht="13.5" x14ac:dyDescent="0.2">
      <c r="A198" s="302"/>
      <c r="B198" s="335"/>
      <c r="C198" s="395"/>
      <c r="D198" s="337"/>
      <c r="E198" s="338"/>
      <c r="F198" s="333"/>
      <c r="G198" s="333"/>
      <c r="H198" s="333"/>
      <c r="I198" s="333"/>
      <c r="J198" s="339"/>
      <c r="K198" s="302"/>
      <c r="L198" s="302"/>
    </row>
    <row r="199" spans="1:12" ht="13.5" x14ac:dyDescent="0.2">
      <c r="A199" s="302"/>
      <c r="B199" s="335" t="str">
        <f>$B$187 &amp; ".05"</f>
        <v>02.03.05.02.05</v>
      </c>
      <c r="C199" s="336" t="s">
        <v>220</v>
      </c>
      <c r="D199" s="337" t="s">
        <v>14</v>
      </c>
      <c r="E199" s="338">
        <v>1</v>
      </c>
      <c r="F199" s="333"/>
      <c r="G199" s="333"/>
      <c r="H199" s="333"/>
      <c r="I199" s="332">
        <f>SUM(I200:I202)</f>
        <v>1.04</v>
      </c>
      <c r="J199" s="339">
        <f>+$E$165*I199</f>
        <v>1.04</v>
      </c>
      <c r="K199" s="302"/>
      <c r="L199" s="302"/>
    </row>
    <row r="200" spans="1:12" ht="13.5" x14ac:dyDescent="0.2">
      <c r="A200" s="302"/>
      <c r="B200" s="335"/>
      <c r="C200" s="263" t="s">
        <v>342</v>
      </c>
      <c r="D200" s="337"/>
      <c r="E200" s="338">
        <v>1</v>
      </c>
      <c r="F200" s="333">
        <f t="shared" ref="F200:G202" si="13">F183</f>
        <v>0.7</v>
      </c>
      <c r="G200" s="333">
        <f t="shared" si="13"/>
        <v>0.4</v>
      </c>
      <c r="H200" s="333"/>
      <c r="I200" s="333">
        <f>+ROUND(PRODUCT(E200:H200),2)</f>
        <v>0.28000000000000003</v>
      </c>
      <c r="J200" s="339"/>
      <c r="K200" s="302"/>
      <c r="L200" s="302"/>
    </row>
    <row r="201" spans="1:12" ht="13.5" x14ac:dyDescent="0.2">
      <c r="A201" s="302"/>
      <c r="B201" s="335"/>
      <c r="C201" s="263" t="s">
        <v>343</v>
      </c>
      <c r="D201" s="337"/>
      <c r="E201" s="338">
        <v>1</v>
      </c>
      <c r="F201" s="333">
        <f t="shared" si="13"/>
        <v>0.8</v>
      </c>
      <c r="G201" s="333">
        <f t="shared" si="13"/>
        <v>0.5</v>
      </c>
      <c r="H201" s="333"/>
      <c r="I201" s="333">
        <f>+ROUND(PRODUCT(E201:H201),2)</f>
        <v>0.4</v>
      </c>
      <c r="J201" s="339"/>
      <c r="K201" s="302"/>
      <c r="L201" s="302"/>
    </row>
    <row r="202" spans="1:12" ht="13.5" x14ac:dyDescent="0.2">
      <c r="A202" s="302"/>
      <c r="B202" s="335"/>
      <c r="C202" s="264" t="s">
        <v>344</v>
      </c>
      <c r="D202" s="337"/>
      <c r="E202" s="338">
        <v>1</v>
      </c>
      <c r="F202" s="333">
        <f t="shared" si="13"/>
        <v>0.6</v>
      </c>
      <c r="G202" s="333">
        <f t="shared" si="13"/>
        <v>0.6</v>
      </c>
      <c r="H202" s="333"/>
      <c r="I202" s="333">
        <f>+ROUND(PRODUCT(E202:H202),2)</f>
        <v>0.36</v>
      </c>
      <c r="J202" s="339"/>
      <c r="K202" s="302"/>
      <c r="L202" s="302"/>
    </row>
    <row r="203" spans="1:12" ht="13.5" x14ac:dyDescent="0.2">
      <c r="A203" s="302"/>
      <c r="B203" s="335"/>
      <c r="D203" s="337"/>
      <c r="E203" s="338"/>
      <c r="F203" s="333"/>
      <c r="G203" s="333"/>
      <c r="H203" s="333"/>
      <c r="I203" s="333"/>
      <c r="J203" s="339"/>
      <c r="K203" s="302"/>
      <c r="L203" s="302"/>
    </row>
    <row r="204" spans="1:12" ht="13.5" x14ac:dyDescent="0.2">
      <c r="A204" s="302"/>
      <c r="B204" s="335" t="str">
        <f>$B$187 &amp; ".06"</f>
        <v>02.03.05.02.06</v>
      </c>
      <c r="C204" s="336" t="s">
        <v>223</v>
      </c>
      <c r="D204" s="337" t="s">
        <v>21</v>
      </c>
      <c r="E204" s="338"/>
      <c r="F204" s="333" t="s">
        <v>245</v>
      </c>
      <c r="G204" s="333"/>
      <c r="H204" s="333"/>
      <c r="I204" s="332">
        <f>SUM(I205:I207)</f>
        <v>0.7</v>
      </c>
      <c r="J204" s="339">
        <f>+$E$165*I204</f>
        <v>0.7</v>
      </c>
      <c r="K204" s="302"/>
      <c r="L204" s="302"/>
    </row>
    <row r="205" spans="1:12" ht="13.5" x14ac:dyDescent="0.2">
      <c r="A205" s="302"/>
      <c r="B205" s="335"/>
      <c r="C205" s="263" t="s">
        <v>342</v>
      </c>
      <c r="D205" s="337"/>
      <c r="E205" s="338">
        <v>1</v>
      </c>
      <c r="F205" s="333">
        <v>1.2</v>
      </c>
      <c r="G205" s="333">
        <f>I195</f>
        <v>0.15</v>
      </c>
      <c r="H205" s="333"/>
      <c r="I205" s="333">
        <f>+ROUND(PRODUCT(E205:H205),2)</f>
        <v>0.18</v>
      </c>
      <c r="J205" s="339"/>
      <c r="K205" s="302"/>
      <c r="L205" s="302"/>
    </row>
    <row r="206" spans="1:12" ht="13.5" x14ac:dyDescent="0.2">
      <c r="A206" s="302"/>
      <c r="B206" s="335"/>
      <c r="C206" s="263" t="s">
        <v>343</v>
      </c>
      <c r="D206" s="337"/>
      <c r="E206" s="338">
        <v>1</v>
      </c>
      <c r="F206" s="333">
        <v>1.2</v>
      </c>
      <c r="G206" s="333">
        <f>I196</f>
        <v>0.22</v>
      </c>
      <c r="H206" s="333"/>
      <c r="I206" s="333">
        <f>+ROUND(PRODUCT(E206:H206),2)</f>
        <v>0.26</v>
      </c>
      <c r="J206" s="339"/>
      <c r="K206" s="302"/>
      <c r="L206" s="302"/>
    </row>
    <row r="207" spans="1:12" ht="13.5" x14ac:dyDescent="0.2">
      <c r="A207" s="302"/>
      <c r="B207" s="335"/>
      <c r="C207" s="264" t="s">
        <v>344</v>
      </c>
      <c r="D207" s="337"/>
      <c r="E207" s="338">
        <v>1</v>
      </c>
      <c r="F207" s="333">
        <v>1.2</v>
      </c>
      <c r="G207" s="333">
        <f>I197</f>
        <v>0.22</v>
      </c>
      <c r="H207" s="333"/>
      <c r="I207" s="333">
        <f>+ROUND(PRODUCT(E207:H207),2)</f>
        <v>0.26</v>
      </c>
      <c r="J207" s="339"/>
      <c r="K207" s="302"/>
      <c r="L207" s="302"/>
    </row>
    <row r="208" spans="1:12" ht="13.5" x14ac:dyDescent="0.2">
      <c r="A208" s="302"/>
      <c r="B208" s="335"/>
      <c r="C208" s="264"/>
      <c r="D208" s="337"/>
      <c r="E208" s="338"/>
      <c r="F208" s="333"/>
      <c r="G208" s="333"/>
      <c r="H208" s="333"/>
      <c r="I208" s="333"/>
      <c r="J208" s="339"/>
      <c r="K208" s="302"/>
      <c r="L208" s="302"/>
    </row>
    <row r="209" spans="1:12" ht="13.5" x14ac:dyDescent="0.2">
      <c r="A209" s="302"/>
      <c r="B209" s="328" t="str">
        <f>$B$164 &amp; ".03"</f>
        <v>02.03.05.03</v>
      </c>
      <c r="C209" s="329" t="s">
        <v>25</v>
      </c>
      <c r="D209" s="337"/>
      <c r="E209" s="331">
        <f>E165</f>
        <v>1</v>
      </c>
      <c r="F209" s="333"/>
      <c r="G209" s="333"/>
      <c r="H209" s="333"/>
      <c r="I209" s="332"/>
      <c r="J209" s="339"/>
      <c r="K209" s="302"/>
      <c r="L209" s="302"/>
    </row>
    <row r="210" spans="1:12" ht="13.5" x14ac:dyDescent="0.2">
      <c r="A210" s="302"/>
      <c r="B210" s="335" t="str">
        <f>$B$209 &amp; ".01"</f>
        <v>02.03.05.03.01</v>
      </c>
      <c r="C210" s="342" t="s">
        <v>325</v>
      </c>
      <c r="D210" s="337" t="s">
        <v>14</v>
      </c>
      <c r="E210" s="338"/>
      <c r="F210" s="333"/>
      <c r="G210" s="333"/>
      <c r="H210" s="333"/>
      <c r="I210" s="332">
        <f>SUM(I211:I213)</f>
        <v>1.04</v>
      </c>
      <c r="J210" s="339">
        <f>+$E$209*I210</f>
        <v>1.04</v>
      </c>
      <c r="K210" s="302"/>
      <c r="L210" s="302"/>
    </row>
    <row r="211" spans="1:12" ht="13.5" x14ac:dyDescent="0.2">
      <c r="A211" s="302"/>
      <c r="B211" s="335"/>
      <c r="C211" s="263" t="s">
        <v>342</v>
      </c>
      <c r="D211" s="337"/>
      <c r="E211" s="338">
        <v>1</v>
      </c>
      <c r="F211" s="333">
        <v>0.4</v>
      </c>
      <c r="G211" s="333">
        <v>0.7</v>
      </c>
      <c r="H211" s="333"/>
      <c r="I211" s="333">
        <f>+ROUND(PRODUCT(E211:H211),2)</f>
        <v>0.28000000000000003</v>
      </c>
      <c r="J211" s="339"/>
      <c r="K211" s="302"/>
      <c r="L211" s="302"/>
    </row>
    <row r="212" spans="1:12" ht="13.5" x14ac:dyDescent="0.2">
      <c r="A212" s="302"/>
      <c r="B212" s="335"/>
      <c r="C212" s="263" t="s">
        <v>343</v>
      </c>
      <c r="D212" s="330"/>
      <c r="E212" s="393">
        <v>1</v>
      </c>
      <c r="F212" s="333">
        <f>F201</f>
        <v>0.8</v>
      </c>
      <c r="G212" s="333">
        <f>G201</f>
        <v>0.5</v>
      </c>
      <c r="H212" s="333"/>
      <c r="I212" s="333">
        <f>+ROUND(PRODUCT(E212:H212),2)</f>
        <v>0.4</v>
      </c>
      <c r="J212" s="339"/>
      <c r="K212" s="302"/>
      <c r="L212" s="302"/>
    </row>
    <row r="213" spans="1:12" ht="13.5" x14ac:dyDescent="0.2">
      <c r="A213" s="302"/>
      <c r="B213" s="335"/>
      <c r="C213" s="264" t="s">
        <v>344</v>
      </c>
      <c r="D213" s="330"/>
      <c r="E213" s="393">
        <v>1</v>
      </c>
      <c r="F213" s="333">
        <f>F202</f>
        <v>0.6</v>
      </c>
      <c r="G213" s="333">
        <f>G202</f>
        <v>0.6</v>
      </c>
      <c r="H213" s="333"/>
      <c r="I213" s="333">
        <f>+ROUND(PRODUCT(E213:H213),2)</f>
        <v>0.36</v>
      </c>
      <c r="J213" s="339"/>
      <c r="K213" s="302"/>
      <c r="L213" s="302"/>
    </row>
    <row r="214" spans="1:12" ht="13.5" x14ac:dyDescent="0.2">
      <c r="A214" s="302"/>
      <c r="B214" s="335"/>
      <c r="C214" s="264"/>
      <c r="D214" s="330"/>
      <c r="E214" s="393"/>
      <c r="F214" s="333"/>
      <c r="G214" s="333"/>
      <c r="H214" s="333"/>
      <c r="I214" s="333"/>
      <c r="J214" s="339"/>
      <c r="K214" s="302"/>
      <c r="L214" s="302"/>
    </row>
    <row r="215" spans="1:12" ht="13.5" x14ac:dyDescent="0.2">
      <c r="A215" s="302"/>
      <c r="B215" s="328" t="str">
        <f>$B$164 &amp; ".04"</f>
        <v>02.03.05.04</v>
      </c>
      <c r="C215" s="352" t="s">
        <v>37</v>
      </c>
      <c r="D215" s="337"/>
      <c r="E215" s="338"/>
      <c r="F215" s="333"/>
      <c r="G215" s="333"/>
      <c r="H215" s="333"/>
      <c r="I215" s="333"/>
      <c r="J215" s="339"/>
      <c r="K215" s="302"/>
      <c r="L215" s="302"/>
    </row>
    <row r="216" spans="1:12" ht="13.5" x14ac:dyDescent="0.2">
      <c r="A216" s="302"/>
      <c r="B216" s="335" t="str">
        <f>$B$215 &amp; ".01"</f>
        <v>02.03.05.04.01</v>
      </c>
      <c r="C216" s="336" t="s">
        <v>345</v>
      </c>
      <c r="D216" s="337" t="s">
        <v>14</v>
      </c>
      <c r="E216" s="331">
        <f>E209</f>
        <v>1</v>
      </c>
      <c r="F216" s="333"/>
      <c r="G216" s="333"/>
      <c r="H216" s="333"/>
      <c r="I216" s="332">
        <f>+SUM(I218:I220)</f>
        <v>1.81</v>
      </c>
      <c r="J216" s="339">
        <f>+$E$216*I216</f>
        <v>1.81</v>
      </c>
      <c r="K216" s="302"/>
      <c r="L216" s="302"/>
    </row>
    <row r="217" spans="1:12" ht="13.5" x14ac:dyDescent="0.2">
      <c r="A217" s="302"/>
      <c r="B217" s="335"/>
      <c r="C217" s="263" t="s">
        <v>343</v>
      </c>
      <c r="D217" s="337"/>
      <c r="E217" s="338"/>
      <c r="F217" s="333"/>
      <c r="G217" s="333"/>
      <c r="H217" s="333"/>
      <c r="I217" s="332"/>
      <c r="J217" s="339"/>
      <c r="K217" s="302"/>
      <c r="L217" s="302"/>
    </row>
    <row r="218" spans="1:12" ht="13.5" x14ac:dyDescent="0.2">
      <c r="A218" s="302"/>
      <c r="B218" s="335"/>
      <c r="C218" s="340" t="s">
        <v>251</v>
      </c>
      <c r="D218" s="330"/>
      <c r="E218" s="338">
        <v>1</v>
      </c>
      <c r="F218" s="333">
        <v>1.8</v>
      </c>
      <c r="G218" s="333"/>
      <c r="H218" s="333">
        <v>0.75</v>
      </c>
      <c r="I218" s="333">
        <f>+ROUND(PRODUCT(E218:H218),2)</f>
        <v>1.35</v>
      </c>
      <c r="J218" s="339"/>
      <c r="K218" s="302"/>
      <c r="L218" s="302"/>
    </row>
    <row r="219" spans="1:12" ht="13.5" x14ac:dyDescent="0.2">
      <c r="A219" s="302"/>
      <c r="B219" s="335"/>
      <c r="C219" s="340" t="s">
        <v>252</v>
      </c>
      <c r="D219" s="330"/>
      <c r="E219" s="338">
        <v>1</v>
      </c>
      <c r="F219" s="333">
        <v>0.3</v>
      </c>
      <c r="G219" s="333">
        <v>0.6</v>
      </c>
      <c r="H219" s="333"/>
      <c r="I219" s="333">
        <f>+ROUND(PRODUCT(E219:H219),2)</f>
        <v>0.18</v>
      </c>
      <c r="J219" s="339"/>
      <c r="K219" s="302"/>
      <c r="L219" s="302"/>
    </row>
    <row r="220" spans="1:12" ht="13.5" x14ac:dyDescent="0.2">
      <c r="A220" s="302"/>
      <c r="B220" s="335"/>
      <c r="C220" s="340" t="s">
        <v>255</v>
      </c>
      <c r="D220" s="330"/>
      <c r="E220" s="338">
        <v>1</v>
      </c>
      <c r="F220" s="333">
        <v>0.4</v>
      </c>
      <c r="G220" s="333">
        <v>0.7</v>
      </c>
      <c r="H220" s="333"/>
      <c r="I220" s="333">
        <f>+ROUND(PRODUCT(E220:H220),2)</f>
        <v>0.28000000000000003</v>
      </c>
      <c r="J220" s="334"/>
      <c r="K220" s="302"/>
      <c r="L220" s="302"/>
    </row>
    <row r="221" spans="1:12" ht="13.5" x14ac:dyDescent="0.2">
      <c r="A221" s="302"/>
      <c r="B221" s="328"/>
      <c r="C221" s="264"/>
      <c r="D221" s="337"/>
      <c r="E221" s="338"/>
      <c r="F221" s="333"/>
      <c r="G221" s="333"/>
      <c r="H221" s="333"/>
      <c r="I221" s="333"/>
      <c r="J221" s="334"/>
      <c r="K221" s="302"/>
      <c r="L221" s="302"/>
    </row>
    <row r="222" spans="1:12" ht="13.5" x14ac:dyDescent="0.25">
      <c r="A222" s="302"/>
      <c r="B222" s="328" t="str">
        <f>$B$164 &amp; ".05"</f>
        <v>02.03.05.05</v>
      </c>
      <c r="C222" s="258" t="s">
        <v>231</v>
      </c>
      <c r="D222" s="330"/>
      <c r="E222" s="331">
        <f>E216</f>
        <v>1</v>
      </c>
      <c r="F222" s="332"/>
      <c r="G222" s="333"/>
      <c r="H222" s="333"/>
      <c r="I222" s="333"/>
      <c r="J222" s="334"/>
      <c r="K222" s="302"/>
      <c r="L222" s="302"/>
    </row>
    <row r="223" spans="1:12" ht="13.5" x14ac:dyDescent="0.2">
      <c r="A223" s="302"/>
      <c r="B223" s="335" t="str">
        <f>$B$222 &amp; ".01"</f>
        <v>02.03.05.05.01</v>
      </c>
      <c r="C223" s="336" t="s">
        <v>256</v>
      </c>
      <c r="D223" s="330" t="s">
        <v>130</v>
      </c>
      <c r="E223" s="393">
        <v>1</v>
      </c>
      <c r="F223" s="333">
        <f>M165</f>
        <v>8.5</v>
      </c>
      <c r="G223" s="333"/>
      <c r="H223" s="333"/>
      <c r="I223" s="333">
        <f t="shared" ref="I223" si="14">+ROUND(PRODUCT(E223:H223),2)</f>
        <v>8.5</v>
      </c>
      <c r="J223" s="339">
        <f>+$E$165*I223</f>
        <v>8.5</v>
      </c>
      <c r="K223" s="302"/>
      <c r="L223" s="302"/>
    </row>
    <row r="224" spans="1:12" ht="13.5" x14ac:dyDescent="0.2">
      <c r="A224" s="302"/>
      <c r="B224" s="335" t="str">
        <f>$B$222 &amp; ".02"</f>
        <v>02.03.05.05.02</v>
      </c>
      <c r="C224" s="336" t="s">
        <v>395</v>
      </c>
      <c r="D224" s="337" t="s">
        <v>35</v>
      </c>
      <c r="E224" s="338">
        <v>1</v>
      </c>
      <c r="F224" s="333"/>
      <c r="G224" s="333"/>
      <c r="H224" s="333"/>
      <c r="I224" s="333">
        <f>+ROUND(PRODUCT(E224:H224),2)</f>
        <v>1</v>
      </c>
      <c r="J224" s="339">
        <f>+$E$222*I224</f>
        <v>1</v>
      </c>
      <c r="K224" s="302"/>
      <c r="L224" s="302"/>
    </row>
    <row r="225" spans="1:12" ht="13.5" x14ac:dyDescent="0.2">
      <c r="A225" s="302"/>
      <c r="B225" s="328"/>
      <c r="C225" s="257"/>
      <c r="D225" s="330"/>
      <c r="E225" s="331"/>
      <c r="F225" s="332"/>
      <c r="G225" s="333"/>
      <c r="H225" s="333"/>
      <c r="I225" s="333"/>
      <c r="J225" s="334"/>
      <c r="K225" s="302"/>
      <c r="L225" s="302"/>
    </row>
    <row r="226" spans="1:12" ht="13.5" x14ac:dyDescent="0.25">
      <c r="A226" s="302"/>
      <c r="B226" s="328" t="str">
        <f>$B$164 &amp; ".06"</f>
        <v>02.03.05.06</v>
      </c>
      <c r="C226" s="258" t="s">
        <v>258</v>
      </c>
      <c r="D226" s="330"/>
      <c r="E226" s="331">
        <f>E222</f>
        <v>1</v>
      </c>
      <c r="F226" s="332"/>
      <c r="G226" s="333"/>
      <c r="H226" s="333"/>
      <c r="I226" s="333"/>
      <c r="J226" s="334"/>
      <c r="K226" s="302"/>
      <c r="L226" s="302"/>
    </row>
    <row r="227" spans="1:12" ht="16.5" x14ac:dyDescent="0.2">
      <c r="A227" s="302"/>
      <c r="B227" s="335" t="str">
        <f>$B$226 &amp; ".01"</f>
        <v>02.03.05.06.01</v>
      </c>
      <c r="C227" s="257" t="s">
        <v>274</v>
      </c>
      <c r="D227" s="330" t="s">
        <v>35</v>
      </c>
      <c r="E227" s="393">
        <v>1</v>
      </c>
      <c r="F227" s="332"/>
      <c r="G227" s="333"/>
      <c r="H227" s="333"/>
      <c r="I227" s="333">
        <f t="shared" ref="I227" si="15">+ROUND(PRODUCT(E227:H227),2)</f>
        <v>1</v>
      </c>
      <c r="J227" s="339">
        <f>+$E$165*I227</f>
        <v>1</v>
      </c>
      <c r="K227" s="302"/>
      <c r="L227" s="302"/>
    </row>
    <row r="228" spans="1:12" ht="13.5" x14ac:dyDescent="0.2">
      <c r="A228" s="302"/>
      <c r="B228" s="335"/>
      <c r="C228" s="257"/>
      <c r="D228" s="330"/>
      <c r="E228" s="393"/>
      <c r="F228" s="332"/>
      <c r="G228" s="333"/>
      <c r="H228" s="333"/>
      <c r="I228" s="333"/>
      <c r="J228" s="339"/>
      <c r="K228" s="302"/>
      <c r="L228" s="302"/>
    </row>
    <row r="229" spans="1:12" ht="13.5" x14ac:dyDescent="0.2">
      <c r="A229" s="302"/>
      <c r="B229" s="335" t="str">
        <f>$B$226 &amp; ".02"</f>
        <v>02.03.05.06.02</v>
      </c>
      <c r="C229" s="336" t="s">
        <v>259</v>
      </c>
      <c r="D229" s="337" t="s">
        <v>35</v>
      </c>
      <c r="E229" s="338">
        <v>1</v>
      </c>
      <c r="F229" s="333"/>
      <c r="G229" s="333"/>
      <c r="H229" s="333"/>
      <c r="I229" s="333">
        <f>+ROUND(PRODUCT(E229:H229),2)</f>
        <v>1</v>
      </c>
      <c r="J229" s="339">
        <f>+$E$226*I229</f>
        <v>1</v>
      </c>
      <c r="K229" s="302"/>
      <c r="L229" s="302"/>
    </row>
    <row r="230" spans="1:12" ht="13.5" x14ac:dyDescent="0.2">
      <c r="A230" s="302"/>
      <c r="B230" s="335"/>
      <c r="C230" s="340" t="s">
        <v>261</v>
      </c>
      <c r="D230" s="337" t="s">
        <v>35</v>
      </c>
      <c r="E230" s="338">
        <v>2</v>
      </c>
      <c r="F230" s="333"/>
      <c r="G230" s="333"/>
      <c r="H230" s="333"/>
      <c r="I230" s="333"/>
      <c r="J230" s="339"/>
      <c r="K230" s="302"/>
      <c r="L230" s="302"/>
    </row>
    <row r="231" spans="1:12" ht="13.5" x14ac:dyDescent="0.2">
      <c r="A231" s="302"/>
      <c r="B231" s="335"/>
      <c r="C231" s="340" t="s">
        <v>262</v>
      </c>
      <c r="D231" s="337" t="s">
        <v>35</v>
      </c>
      <c r="E231" s="338">
        <v>2</v>
      </c>
      <c r="F231" s="333"/>
      <c r="G231" s="333"/>
      <c r="H231" s="333"/>
      <c r="I231" s="333"/>
      <c r="J231" s="339"/>
      <c r="K231" s="302"/>
      <c r="L231" s="302"/>
    </row>
    <row r="232" spans="1:12" ht="13.5" x14ac:dyDescent="0.2">
      <c r="A232" s="302"/>
      <c r="B232" s="335"/>
      <c r="C232" s="340" t="s">
        <v>263</v>
      </c>
      <c r="D232" s="337" t="s">
        <v>35</v>
      </c>
      <c r="E232" s="338">
        <v>2</v>
      </c>
      <c r="F232" s="333"/>
      <c r="G232" s="333"/>
      <c r="H232" s="333"/>
      <c r="I232" s="333"/>
      <c r="J232" s="339"/>
      <c r="K232" s="302"/>
      <c r="L232" s="302"/>
    </row>
    <row r="233" spans="1:12" ht="13.5" x14ac:dyDescent="0.2">
      <c r="A233" s="302"/>
      <c r="B233" s="335"/>
      <c r="C233" s="340" t="s">
        <v>260</v>
      </c>
      <c r="D233" s="337" t="s">
        <v>35</v>
      </c>
      <c r="E233" s="338">
        <v>1</v>
      </c>
      <c r="F233" s="333"/>
      <c r="G233" s="333"/>
      <c r="H233" s="333"/>
      <c r="I233" s="333"/>
      <c r="J233" s="339"/>
      <c r="K233" s="302"/>
      <c r="L233" s="302"/>
    </row>
    <row r="234" spans="1:12" ht="13.5" x14ac:dyDescent="0.2">
      <c r="A234" s="302"/>
      <c r="B234" s="335"/>
      <c r="C234" s="340" t="s">
        <v>264</v>
      </c>
      <c r="D234" s="337" t="s">
        <v>29</v>
      </c>
      <c r="E234" s="333">
        <v>0.4</v>
      </c>
      <c r="F234" s="333"/>
      <c r="G234" s="333"/>
      <c r="H234" s="333"/>
      <c r="I234" s="333"/>
      <c r="J234" s="339"/>
      <c r="K234" s="302"/>
      <c r="L234" s="302"/>
    </row>
    <row r="235" spans="1:12" ht="13.5" x14ac:dyDescent="0.2">
      <c r="A235" s="302"/>
      <c r="B235" s="335"/>
      <c r="C235" s="340"/>
      <c r="D235" s="337"/>
      <c r="E235" s="333"/>
      <c r="F235" s="333"/>
      <c r="G235" s="333"/>
      <c r="H235" s="333"/>
      <c r="I235" s="333"/>
      <c r="J235" s="339"/>
      <c r="K235" s="302"/>
      <c r="L235" s="302"/>
    </row>
    <row r="236" spans="1:12" ht="13.5" x14ac:dyDescent="0.2">
      <c r="A236" s="302"/>
      <c r="B236" s="335" t="str">
        <f>$B$226 &amp; ".03"</f>
        <v>02.03.05.06.03</v>
      </c>
      <c r="C236" s="336" t="s">
        <v>346</v>
      </c>
      <c r="D236" s="337" t="s">
        <v>35</v>
      </c>
      <c r="E236" s="333">
        <v>1</v>
      </c>
      <c r="F236" s="333"/>
      <c r="G236" s="333"/>
      <c r="H236" s="333"/>
      <c r="I236" s="333">
        <f>+ROUND(PRODUCT(E236:H236),2)</f>
        <v>1</v>
      </c>
      <c r="J236" s="339">
        <f>+$E$226*I236</f>
        <v>1</v>
      </c>
      <c r="K236" s="302"/>
      <c r="L236" s="302"/>
    </row>
    <row r="237" spans="1:12" ht="13.5" x14ac:dyDescent="0.2">
      <c r="A237" s="302"/>
      <c r="B237" s="335"/>
      <c r="C237" s="263" t="s">
        <v>347</v>
      </c>
      <c r="D237" s="337" t="s">
        <v>35</v>
      </c>
      <c r="E237" s="333">
        <v>1</v>
      </c>
      <c r="F237" s="333"/>
      <c r="G237" s="333"/>
      <c r="H237" s="333"/>
      <c r="I237" s="333"/>
      <c r="J237" s="339"/>
      <c r="K237" s="302"/>
      <c r="L237" s="302"/>
    </row>
    <row r="238" spans="1:12" ht="13.5" x14ac:dyDescent="0.2">
      <c r="A238" s="302"/>
      <c r="B238" s="335"/>
      <c r="C238" s="336"/>
      <c r="D238" s="337"/>
      <c r="E238" s="333"/>
      <c r="F238" s="333"/>
      <c r="G238" s="333"/>
      <c r="H238" s="333"/>
      <c r="I238" s="333"/>
      <c r="J238" s="339"/>
      <c r="K238" s="302"/>
      <c r="L238" s="302"/>
    </row>
    <row r="239" spans="1:12" ht="13.5" x14ac:dyDescent="0.2">
      <c r="A239" s="302"/>
      <c r="B239" s="335" t="str">
        <f>$B$226 &amp; ".04"</f>
        <v>02.03.05.06.04</v>
      </c>
      <c r="C239" s="336" t="s">
        <v>348</v>
      </c>
      <c r="D239" s="337" t="s">
        <v>35</v>
      </c>
      <c r="E239" s="333">
        <v>1</v>
      </c>
      <c r="F239" s="333"/>
      <c r="G239" s="333"/>
      <c r="H239" s="333"/>
      <c r="I239" s="333">
        <f>+ROUND(PRODUCT(E239:H239),2)</f>
        <v>1</v>
      </c>
      <c r="J239" s="339">
        <f>+$E$226*I239</f>
        <v>1</v>
      </c>
      <c r="K239" s="302"/>
      <c r="L239" s="302"/>
    </row>
    <row r="240" spans="1:12" ht="13.5" x14ac:dyDescent="0.2">
      <c r="A240" s="302"/>
      <c r="B240" s="335"/>
      <c r="C240" s="263" t="s">
        <v>349</v>
      </c>
      <c r="D240" s="337" t="s">
        <v>35</v>
      </c>
      <c r="E240" s="333">
        <v>1</v>
      </c>
      <c r="F240" s="333"/>
      <c r="G240" s="333"/>
      <c r="H240" s="333"/>
      <c r="I240" s="333"/>
      <c r="J240" s="339"/>
      <c r="K240" s="302"/>
      <c r="L240" s="302"/>
    </row>
    <row r="241" spans="1:12" ht="13.5" x14ac:dyDescent="0.2">
      <c r="A241" s="302"/>
      <c r="B241" s="335"/>
      <c r="C241" s="264"/>
      <c r="D241" s="337"/>
      <c r="E241" s="333"/>
      <c r="F241" s="333"/>
      <c r="G241" s="333"/>
      <c r="H241" s="333"/>
      <c r="I241" s="333"/>
      <c r="J241" s="339"/>
      <c r="K241" s="302"/>
      <c r="L241" s="302"/>
    </row>
    <row r="242" spans="1:12" ht="13.5" x14ac:dyDescent="0.2">
      <c r="A242" s="302"/>
      <c r="B242" s="335" t="str">
        <f>$B$226 &amp; ".05"</f>
        <v>02.03.05.06.05</v>
      </c>
      <c r="C242" s="336" t="s">
        <v>350</v>
      </c>
      <c r="D242" s="337" t="s">
        <v>35</v>
      </c>
      <c r="E242" s="333">
        <v>1</v>
      </c>
      <c r="F242" s="333"/>
      <c r="G242" s="333"/>
      <c r="H242" s="333"/>
      <c r="I242" s="333">
        <f>+ROUND(PRODUCT(E242:H242),2)</f>
        <v>1</v>
      </c>
      <c r="J242" s="339">
        <f>+$E$226*I242</f>
        <v>1</v>
      </c>
      <c r="K242" s="302"/>
      <c r="L242" s="302"/>
    </row>
    <row r="243" spans="1:12" ht="13.5" x14ac:dyDescent="0.2">
      <c r="A243" s="302"/>
      <c r="B243" s="335"/>
      <c r="C243" s="264" t="s">
        <v>351</v>
      </c>
      <c r="D243" s="337" t="s">
        <v>35</v>
      </c>
      <c r="E243" s="333">
        <v>1</v>
      </c>
      <c r="F243" s="333"/>
      <c r="G243" s="333"/>
      <c r="H243" s="333"/>
      <c r="I243" s="333"/>
      <c r="J243" s="339"/>
      <c r="K243" s="302"/>
      <c r="L243" s="302"/>
    </row>
    <row r="244" spans="1:12" ht="13.5" x14ac:dyDescent="0.2">
      <c r="A244" s="302"/>
      <c r="B244" s="335"/>
      <c r="C244" s="257"/>
      <c r="D244" s="330"/>
      <c r="E244" s="331"/>
      <c r="F244" s="332"/>
      <c r="G244" s="333"/>
      <c r="H244" s="333"/>
      <c r="I244" s="333"/>
      <c r="J244" s="334"/>
      <c r="K244" s="302"/>
      <c r="L244" s="302"/>
    </row>
    <row r="245" spans="1:12" ht="14.25" thickBot="1" x14ac:dyDescent="0.25">
      <c r="A245" s="302"/>
      <c r="B245" s="335"/>
      <c r="C245" s="396"/>
      <c r="D245" s="397"/>
      <c r="E245" s="398"/>
      <c r="F245" s="399"/>
      <c r="G245" s="399"/>
      <c r="H245" s="399"/>
      <c r="I245" s="399"/>
      <c r="J245" s="400"/>
      <c r="K245" s="302"/>
      <c r="L245" s="302"/>
    </row>
    <row r="246" spans="1:12" ht="13.5" x14ac:dyDescent="0.2">
      <c r="A246" s="302"/>
      <c r="B246" s="401"/>
      <c r="C246" s="401"/>
      <c r="D246" s="402"/>
      <c r="E246" s="403"/>
      <c r="F246" s="404"/>
      <c r="G246" s="404"/>
      <c r="H246" s="404"/>
      <c r="I246" s="404"/>
      <c r="J246" s="405"/>
      <c r="K246" s="302"/>
      <c r="L246" s="302"/>
    </row>
    <row r="247" spans="1:12" ht="12" x14ac:dyDescent="0.2">
      <c r="A247" s="302"/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</row>
    <row r="248" spans="1:12" ht="12" x14ac:dyDescent="0.2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</row>
    <row r="249" spans="1:12" ht="12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</row>
    <row r="250" spans="1:12" ht="13.5" x14ac:dyDescent="0.2">
      <c r="A250" s="302"/>
      <c r="B250" s="302"/>
      <c r="C250" s="302"/>
      <c r="D250" s="470" t="s">
        <v>236</v>
      </c>
      <c r="E250" s="492"/>
      <c r="F250" s="492"/>
      <c r="G250" s="492"/>
      <c r="H250" s="492"/>
      <c r="I250" s="471"/>
      <c r="J250" s="302"/>
      <c r="K250" s="302"/>
      <c r="L250" s="302"/>
    </row>
    <row r="251" spans="1:12" ht="13.5" x14ac:dyDescent="0.2">
      <c r="A251" s="302"/>
      <c r="B251" s="302"/>
      <c r="C251" s="302"/>
      <c r="D251" s="470" t="s">
        <v>237</v>
      </c>
      <c r="E251" s="471"/>
      <c r="F251" s="472" t="s">
        <v>238</v>
      </c>
      <c r="G251" s="472" t="s">
        <v>239</v>
      </c>
      <c r="H251" s="472" t="s">
        <v>240</v>
      </c>
      <c r="I251" s="472" t="s">
        <v>241</v>
      </c>
      <c r="J251" s="302"/>
      <c r="K251" s="302"/>
      <c r="L251" s="302"/>
    </row>
    <row r="252" spans="1:12" ht="13.5" x14ac:dyDescent="0.2">
      <c r="A252" s="302"/>
      <c r="B252" s="302"/>
      <c r="C252" s="302"/>
      <c r="D252" s="406" t="s">
        <v>242</v>
      </c>
      <c r="E252" s="406" t="s">
        <v>243</v>
      </c>
      <c r="F252" s="473"/>
      <c r="G252" s="473"/>
      <c r="H252" s="473"/>
      <c r="I252" s="473"/>
      <c r="J252" s="302"/>
      <c r="K252" s="302"/>
      <c r="L252" s="302"/>
    </row>
    <row r="253" spans="1:12" ht="13.5" x14ac:dyDescent="0.2">
      <c r="A253" s="302"/>
      <c r="B253" s="302"/>
      <c r="C253" s="302"/>
      <c r="D253" s="407">
        <v>0.25</v>
      </c>
      <c r="E253" s="408">
        <v>6</v>
      </c>
      <c r="F253" s="409">
        <f t="shared" ref="F253:F261" si="16">+PI()*G253*G253/4</f>
        <v>0.31669217443593611</v>
      </c>
      <c r="G253" s="409">
        <f>2.54*1/4</f>
        <v>0.63500000000000001</v>
      </c>
      <c r="H253" s="409">
        <f>+G253*PI()</f>
        <v>1.9949113350295187</v>
      </c>
      <c r="I253" s="409">
        <v>0.222</v>
      </c>
      <c r="J253" s="302"/>
      <c r="K253" s="302"/>
      <c r="L253" s="302"/>
    </row>
    <row r="254" spans="1:12" ht="13.5" x14ac:dyDescent="0.2">
      <c r="A254" s="302"/>
      <c r="B254" s="302"/>
      <c r="C254" s="302"/>
      <c r="D254" s="407"/>
      <c r="E254" s="408">
        <v>8</v>
      </c>
      <c r="F254" s="409">
        <f t="shared" si="16"/>
        <v>0.50265482457436694</v>
      </c>
      <c r="G254" s="409">
        <v>0.8</v>
      </c>
      <c r="H254" s="409"/>
      <c r="I254" s="409">
        <v>0.4</v>
      </c>
      <c r="J254" s="302"/>
      <c r="K254" s="302"/>
      <c r="L254" s="302"/>
    </row>
    <row r="255" spans="1:12" ht="13.5" x14ac:dyDescent="0.2">
      <c r="A255" s="302"/>
      <c r="B255" s="302"/>
      <c r="C255" s="302"/>
      <c r="D255" s="407">
        <v>0.375</v>
      </c>
      <c r="E255" s="408" t="s">
        <v>244</v>
      </c>
      <c r="F255" s="409">
        <f t="shared" si="16"/>
        <v>0.71255739248085614</v>
      </c>
      <c r="G255" s="409">
        <f>2.54*3/8</f>
        <v>0.95250000000000001</v>
      </c>
      <c r="H255" s="409">
        <f>+G255*PI()</f>
        <v>2.9923670025442779</v>
      </c>
      <c r="I255" s="409">
        <v>0.56000000000000005</v>
      </c>
      <c r="J255" s="302"/>
      <c r="K255" s="302"/>
      <c r="L255" s="302"/>
    </row>
    <row r="256" spans="1:12" ht="13.5" x14ac:dyDescent="0.2">
      <c r="A256" s="302"/>
      <c r="B256" s="302"/>
      <c r="C256" s="302"/>
      <c r="D256" s="407"/>
      <c r="E256" s="408">
        <v>12</v>
      </c>
      <c r="F256" s="409">
        <f t="shared" si="16"/>
        <v>1.1309733552923256</v>
      </c>
      <c r="G256" s="409">
        <v>1.2</v>
      </c>
      <c r="H256" s="409"/>
      <c r="I256" s="409">
        <v>0.89</v>
      </c>
      <c r="J256" s="302"/>
      <c r="K256" s="302"/>
      <c r="L256" s="302"/>
    </row>
    <row r="257" spans="1:12" ht="13.5" x14ac:dyDescent="0.2">
      <c r="A257" s="302"/>
      <c r="B257" s="302"/>
      <c r="C257" s="302"/>
      <c r="D257" s="407">
        <v>0.5</v>
      </c>
      <c r="E257" s="408" t="s">
        <v>244</v>
      </c>
      <c r="F257" s="409">
        <f t="shared" si="16"/>
        <v>1.2667686977437445</v>
      </c>
      <c r="G257" s="409">
        <f>1/2*2.54</f>
        <v>1.27</v>
      </c>
      <c r="H257" s="409">
        <f t="shared" ref="H257:H261" si="17">+G257*PI()</f>
        <v>3.9898226700590373</v>
      </c>
      <c r="I257" s="409">
        <v>0.99399999999999999</v>
      </c>
      <c r="J257" s="302"/>
      <c r="K257" s="302"/>
      <c r="L257" s="302"/>
    </row>
    <row r="258" spans="1:12" ht="13.5" x14ac:dyDescent="0.2">
      <c r="A258" s="302"/>
      <c r="B258" s="302"/>
      <c r="C258" s="302"/>
      <c r="D258" s="407">
        <v>0.625</v>
      </c>
      <c r="E258" s="408" t="s">
        <v>244</v>
      </c>
      <c r="F258" s="409">
        <f t="shared" si="16"/>
        <v>1.9793260902246004</v>
      </c>
      <c r="G258" s="409">
        <f>5/8*2.54</f>
        <v>1.5874999999999999</v>
      </c>
      <c r="H258" s="409">
        <f t="shared" si="17"/>
        <v>4.9872783375737963</v>
      </c>
      <c r="I258" s="409">
        <v>1.552</v>
      </c>
      <c r="J258" s="302"/>
      <c r="K258" s="302"/>
      <c r="L258" s="302"/>
    </row>
    <row r="259" spans="1:12" ht="13.5" x14ac:dyDescent="0.2">
      <c r="A259" s="302"/>
      <c r="B259" s="302"/>
      <c r="C259" s="302"/>
      <c r="D259" s="407">
        <v>0.75</v>
      </c>
      <c r="E259" s="408" t="s">
        <v>244</v>
      </c>
      <c r="F259" s="409">
        <f t="shared" si="16"/>
        <v>2.8502295699234246</v>
      </c>
      <c r="G259" s="409">
        <f>3/4*2.54</f>
        <v>1.905</v>
      </c>
      <c r="H259" s="409">
        <f t="shared" si="17"/>
        <v>5.9847340050885558</v>
      </c>
      <c r="I259" s="409">
        <v>2.2349999999999999</v>
      </c>
      <c r="J259" s="302"/>
      <c r="K259" s="302"/>
      <c r="L259" s="302"/>
    </row>
    <row r="260" spans="1:12" ht="13.5" x14ac:dyDescent="0.2">
      <c r="A260" s="302"/>
      <c r="B260" s="302"/>
      <c r="C260" s="302"/>
      <c r="D260" s="407">
        <v>1</v>
      </c>
      <c r="E260" s="408" t="s">
        <v>244</v>
      </c>
      <c r="F260" s="409">
        <f t="shared" si="16"/>
        <v>5.0670747909749778</v>
      </c>
      <c r="G260" s="409">
        <v>2.54</v>
      </c>
      <c r="H260" s="409">
        <f t="shared" si="17"/>
        <v>7.9796453401180747</v>
      </c>
      <c r="I260" s="409">
        <v>3.9729999999999999</v>
      </c>
      <c r="J260" s="302"/>
      <c r="K260" s="302"/>
      <c r="L260" s="302"/>
    </row>
    <row r="261" spans="1:12" ht="13.5" x14ac:dyDescent="0.2">
      <c r="A261" s="302"/>
      <c r="B261" s="302"/>
      <c r="C261" s="302"/>
      <c r="D261" s="407">
        <v>1.375</v>
      </c>
      <c r="E261" s="408" t="s">
        <v>244</v>
      </c>
      <c r="F261" s="409">
        <f t="shared" si="16"/>
        <v>9.5799382766870682</v>
      </c>
      <c r="G261" s="409">
        <f>1.375*2.54</f>
        <v>3.4925000000000002</v>
      </c>
      <c r="H261" s="409">
        <f t="shared" si="17"/>
        <v>10.972012342662353</v>
      </c>
      <c r="I261" s="409">
        <v>7.907</v>
      </c>
      <c r="J261" s="302"/>
      <c r="K261" s="302"/>
      <c r="L261" s="302"/>
    </row>
    <row r="262" spans="1:12" ht="12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</row>
    <row r="263" spans="1:12" ht="12" x14ac:dyDescent="0.2">
      <c r="A263" s="302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</row>
  </sheetData>
  <mergeCells count="10">
    <mergeCell ref="B2:J2"/>
    <mergeCell ref="B3:J3"/>
    <mergeCell ref="B4:J4"/>
    <mergeCell ref="C6:I17"/>
    <mergeCell ref="D250:I250"/>
    <mergeCell ref="D251:E251"/>
    <mergeCell ref="F251:F252"/>
    <mergeCell ref="G251:G252"/>
    <mergeCell ref="H251:H252"/>
    <mergeCell ref="I251:I252"/>
  </mergeCells>
  <dataValidations disablePrompts="1" count="2">
    <dataValidation type="list" allowBlank="1" showErrorMessage="1" sqref="E148:E152" xr:uid="{0AE60D52-B62F-4309-A57C-0E46DBE9BFE6}">
      <formula1>$D$176:$D$184</formula1>
    </dataValidation>
    <dataValidation type="list" allowBlank="1" showErrorMessage="1" sqref="E93:E94" xr:uid="{A0EAE705-DCE1-43BA-BCDB-42A43F97E30F}">
      <formula1>$D$253:$D$261</formula1>
    </dataValidation>
  </dataValidations>
  <pageMargins left="0.70866141732283472" right="0.70866141732283472" top="0.74803149606299213" bottom="0.94488188976377963" header="0.31496062992125984" footer="0.31496062992125984"/>
  <pageSetup paperSize="9" scale="6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914"/>
  <sheetViews>
    <sheetView showGridLines="0" tabSelected="1" view="pageBreakPreview" zoomScale="87" zoomScaleNormal="87" zoomScaleSheetLayoutView="87" workbookViewId="0">
      <selection activeCell="U3" sqref="U3"/>
    </sheetView>
  </sheetViews>
  <sheetFormatPr baseColWidth="10" defaultColWidth="16.83203125" defaultRowHeight="15" customHeight="1" x14ac:dyDescent="0.2"/>
  <cols>
    <col min="1" max="2" width="10.83203125" customWidth="1"/>
    <col min="3" max="3" width="15.1640625" customWidth="1"/>
    <col min="4" max="4" width="6.83203125" customWidth="1"/>
    <col min="5" max="5" width="7" customWidth="1"/>
    <col min="6" max="6" width="6.6640625" customWidth="1"/>
    <col min="7" max="7" width="7.6640625" customWidth="1"/>
    <col min="8" max="8" width="7.5" customWidth="1"/>
    <col min="9" max="9" width="7.1640625" customWidth="1"/>
    <col min="10" max="10" width="11.1640625" customWidth="1"/>
    <col min="11" max="11" width="12.83203125" customWidth="1"/>
    <col min="12" max="12" width="13.33203125" customWidth="1"/>
    <col min="14" max="14" width="10.1640625" customWidth="1"/>
    <col min="15" max="15" width="9.33203125" customWidth="1"/>
    <col min="16" max="16" width="8.33203125" customWidth="1"/>
    <col min="17" max="17" width="9.33203125" customWidth="1"/>
    <col min="18" max="18" width="10.33203125" customWidth="1"/>
    <col min="19" max="19" width="8.33203125" customWidth="1"/>
  </cols>
  <sheetData>
    <row r="1" spans="1:19" ht="24.75" customHeight="1" thickBot="1" x14ac:dyDescent="0.25">
      <c r="A1" s="504" t="s">
        <v>207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6"/>
    </row>
    <row r="2" spans="1:19" ht="25.5" customHeight="1" thickBot="1" x14ac:dyDescent="0.25">
      <c r="A2" s="507" t="s">
        <v>352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508"/>
    </row>
    <row r="3" spans="1:19" ht="20.25" customHeight="1" x14ac:dyDescent="0.2">
      <c r="A3" s="509" t="s">
        <v>208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1"/>
    </row>
    <row r="4" spans="1:19" ht="19.5" customHeight="1" x14ac:dyDescent="0.2">
      <c r="A4" s="512" t="s">
        <v>2</v>
      </c>
      <c r="B4" s="513"/>
      <c r="C4" s="513"/>
      <c r="D4" s="514" t="s">
        <v>48</v>
      </c>
      <c r="E4" s="513"/>
      <c r="F4" s="513"/>
      <c r="G4" s="513"/>
      <c r="H4" s="513"/>
      <c r="I4" s="513"/>
      <c r="J4" s="515" t="s">
        <v>49</v>
      </c>
      <c r="K4" s="515" t="s">
        <v>10</v>
      </c>
      <c r="L4" s="515" t="s">
        <v>50</v>
      </c>
      <c r="M4" s="515" t="s">
        <v>51</v>
      </c>
      <c r="N4" s="512" t="s">
        <v>52</v>
      </c>
      <c r="O4" s="513"/>
      <c r="P4" s="513"/>
      <c r="Q4" s="513"/>
      <c r="R4" s="513"/>
      <c r="S4" s="513"/>
    </row>
    <row r="5" spans="1:19" ht="22.5" customHeight="1" x14ac:dyDescent="0.2">
      <c r="A5" s="513"/>
      <c r="B5" s="513"/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232" t="s">
        <v>53</v>
      </c>
      <c r="O5" s="232" t="s">
        <v>54</v>
      </c>
      <c r="P5" s="232" t="s">
        <v>55</v>
      </c>
      <c r="Q5" s="232" t="s">
        <v>56</v>
      </c>
      <c r="R5" s="232" t="s">
        <v>57</v>
      </c>
      <c r="S5" s="232" t="s">
        <v>58</v>
      </c>
    </row>
    <row r="6" spans="1:19" ht="11.25" customHeight="1" x14ac:dyDescent="0.2">
      <c r="A6" s="516" t="s">
        <v>75</v>
      </c>
      <c r="B6" s="523" t="s">
        <v>205</v>
      </c>
      <c r="C6" s="525" t="s">
        <v>209</v>
      </c>
      <c r="D6" s="219"/>
      <c r="E6" s="220"/>
      <c r="F6" s="220"/>
      <c r="G6" s="220"/>
      <c r="H6" s="220"/>
      <c r="I6" s="221"/>
      <c r="J6" s="222"/>
      <c r="K6" s="223"/>
      <c r="L6" s="223"/>
      <c r="M6" s="223"/>
      <c r="N6" s="223"/>
      <c r="O6" s="223"/>
      <c r="P6" s="223"/>
      <c r="Q6" s="223"/>
      <c r="R6" s="223"/>
      <c r="S6" s="223"/>
    </row>
    <row r="7" spans="1:19" ht="20.25" customHeight="1" x14ac:dyDescent="0.2">
      <c r="A7" s="517"/>
      <c r="B7" s="524"/>
      <c r="C7" s="526"/>
      <c r="D7" s="43"/>
      <c r="E7" s="182"/>
      <c r="F7" s="182"/>
      <c r="G7" s="230">
        <v>0.05</v>
      </c>
      <c r="H7" s="182"/>
      <c r="I7" s="183"/>
      <c r="J7" s="211"/>
      <c r="K7" s="210"/>
      <c r="L7" s="210"/>
      <c r="M7" s="210"/>
      <c r="N7" s="210"/>
      <c r="O7" s="210"/>
      <c r="P7" s="210"/>
      <c r="Q7" s="210"/>
      <c r="R7" s="210"/>
      <c r="S7" s="210"/>
    </row>
    <row r="8" spans="1:19" ht="56.45" customHeight="1" x14ac:dyDescent="0.2">
      <c r="A8" s="517"/>
      <c r="B8" s="524"/>
      <c r="C8" s="526"/>
      <c r="D8" s="43"/>
      <c r="E8" s="208"/>
      <c r="F8" s="229">
        <v>2.8</v>
      </c>
      <c r="G8" s="182"/>
      <c r="H8" s="182"/>
      <c r="I8" s="183"/>
      <c r="J8" s="211" t="s">
        <v>60</v>
      </c>
      <c r="K8" s="213">
        <v>4</v>
      </c>
      <c r="L8" s="213">
        <v>4</v>
      </c>
      <c r="M8" s="210">
        <f>SUM(E6:H10)</f>
        <v>2.9499999999999997</v>
      </c>
      <c r="N8" s="210">
        <f t="shared" ref="N8:S8" si="0">IF(+$J8=N$5,+$K8*$L8*$M8,0)</f>
        <v>0</v>
      </c>
      <c r="O8" s="210">
        <f t="shared" si="0"/>
        <v>47.199999999999996</v>
      </c>
      <c r="P8" s="210">
        <f t="shared" si="0"/>
        <v>0</v>
      </c>
      <c r="Q8" s="210">
        <f t="shared" si="0"/>
        <v>0</v>
      </c>
      <c r="R8" s="210">
        <f t="shared" si="0"/>
        <v>0</v>
      </c>
      <c r="S8" s="210">
        <f t="shared" si="0"/>
        <v>0</v>
      </c>
    </row>
    <row r="9" spans="1:19" ht="13.5" customHeight="1" x14ac:dyDescent="0.2">
      <c r="A9" s="517"/>
      <c r="B9" s="524"/>
      <c r="C9" s="526"/>
      <c r="D9" s="43"/>
      <c r="E9" s="208"/>
      <c r="F9" s="182"/>
      <c r="G9" s="182"/>
      <c r="H9" s="182"/>
      <c r="I9" s="183"/>
      <c r="J9" s="183"/>
      <c r="K9" s="213"/>
      <c r="L9" s="213"/>
      <c r="M9" s="210"/>
      <c r="N9" s="210"/>
      <c r="O9" s="210"/>
      <c r="P9" s="210"/>
      <c r="Q9" s="210"/>
      <c r="R9" s="210"/>
      <c r="S9" s="210"/>
    </row>
    <row r="10" spans="1:19" ht="11.25" customHeight="1" x14ac:dyDescent="0.2">
      <c r="A10" s="517"/>
      <c r="B10" s="524"/>
      <c r="C10" s="526"/>
      <c r="D10" s="43"/>
      <c r="E10" s="182"/>
      <c r="F10" s="182">
        <v>0.1</v>
      </c>
      <c r="G10" s="212"/>
      <c r="H10" s="182"/>
      <c r="I10" s="183"/>
      <c r="J10" s="209"/>
      <c r="K10" s="213"/>
      <c r="L10" s="213"/>
      <c r="M10" s="210"/>
      <c r="N10" s="210"/>
      <c r="O10" s="210"/>
      <c r="P10" s="210"/>
      <c r="Q10" s="210"/>
      <c r="R10" s="210"/>
      <c r="S10" s="210"/>
    </row>
    <row r="11" spans="1:19" ht="11.25" customHeight="1" x14ac:dyDescent="0.2">
      <c r="A11" s="517"/>
      <c r="B11" s="524"/>
      <c r="C11" s="525" t="s">
        <v>210</v>
      </c>
      <c r="D11" s="41"/>
      <c r="E11" s="42"/>
      <c r="F11" s="42"/>
      <c r="G11" s="518">
        <v>0.05</v>
      </c>
      <c r="H11" s="42"/>
      <c r="I11" s="185"/>
      <c r="J11" s="44"/>
      <c r="K11" s="44"/>
      <c r="L11" s="44"/>
      <c r="M11" s="44"/>
      <c r="N11" s="44"/>
      <c r="O11" s="44"/>
      <c r="P11" s="44"/>
      <c r="Q11" s="44"/>
      <c r="R11" s="44"/>
      <c r="S11" s="44"/>
    </row>
    <row r="12" spans="1:19" ht="11.25" customHeight="1" x14ac:dyDescent="0.2">
      <c r="A12" s="517"/>
      <c r="B12" s="524"/>
      <c r="C12" s="526"/>
      <c r="D12" s="43"/>
      <c r="E12" s="212"/>
      <c r="F12" s="182"/>
      <c r="G12" s="519"/>
      <c r="H12" s="182"/>
      <c r="I12" s="182"/>
      <c r="J12" s="214"/>
      <c r="K12" s="214"/>
      <c r="L12" s="214"/>
      <c r="M12" s="214"/>
      <c r="N12" s="214"/>
      <c r="O12" s="214"/>
      <c r="P12" s="214"/>
      <c r="Q12" s="214"/>
      <c r="R12" s="214"/>
      <c r="S12" s="214"/>
    </row>
    <row r="13" spans="1:19" ht="24.75" customHeight="1" x14ac:dyDescent="0.2">
      <c r="A13" s="517"/>
      <c r="B13" s="524"/>
      <c r="C13" s="526"/>
      <c r="D13" s="43"/>
      <c r="E13" s="182"/>
      <c r="F13" s="493">
        <v>3.2</v>
      </c>
      <c r="G13" s="493"/>
      <c r="H13" s="208"/>
      <c r="I13" s="182"/>
      <c r="J13" s="211" t="s">
        <v>60</v>
      </c>
      <c r="K13" s="213">
        <v>4</v>
      </c>
      <c r="L13" s="213">
        <v>4</v>
      </c>
      <c r="M13" s="210">
        <f>SUM(E11:G15)</f>
        <v>3.35</v>
      </c>
      <c r="N13" s="210">
        <f t="shared" ref="N13:S13" si="1">IF(+$J13=N$5,+$K13*$L13*$M13,0)</f>
        <v>0</v>
      </c>
      <c r="O13" s="210">
        <f t="shared" si="1"/>
        <v>53.6</v>
      </c>
      <c r="P13" s="210">
        <f t="shared" si="1"/>
        <v>0</v>
      </c>
      <c r="Q13" s="210">
        <f t="shared" si="1"/>
        <v>0</v>
      </c>
      <c r="R13" s="210">
        <f t="shared" si="1"/>
        <v>0</v>
      </c>
      <c r="S13" s="210">
        <f t="shared" si="1"/>
        <v>0</v>
      </c>
    </row>
    <row r="14" spans="1:19" ht="12.75" customHeight="1" x14ac:dyDescent="0.2">
      <c r="A14" s="517"/>
      <c r="B14" s="524"/>
      <c r="C14" s="526"/>
      <c r="D14" s="43"/>
      <c r="E14" s="182"/>
      <c r="F14" s="493"/>
      <c r="G14" s="493"/>
      <c r="H14" s="182"/>
      <c r="I14" s="182"/>
      <c r="J14" s="210"/>
      <c r="K14" s="213"/>
      <c r="L14" s="213"/>
      <c r="M14" s="210"/>
      <c r="N14" s="210"/>
      <c r="O14" s="210"/>
      <c r="P14" s="210"/>
      <c r="Q14" s="210"/>
      <c r="R14" s="210"/>
      <c r="S14" s="210"/>
    </row>
    <row r="15" spans="1:19" ht="34.5" customHeight="1" x14ac:dyDescent="0.2">
      <c r="A15" s="517"/>
      <c r="B15" s="524"/>
      <c r="C15" s="526"/>
      <c r="D15" s="43"/>
      <c r="E15" s="182"/>
      <c r="F15" s="230">
        <v>0.1</v>
      </c>
      <c r="G15" s="182"/>
      <c r="H15" s="182"/>
      <c r="I15" s="182"/>
      <c r="J15" s="45"/>
      <c r="K15" s="213"/>
      <c r="L15" s="213"/>
      <c r="M15" s="210"/>
      <c r="N15" s="210"/>
      <c r="O15" s="210"/>
      <c r="P15" s="210"/>
      <c r="Q15" s="210"/>
      <c r="R15" s="210"/>
      <c r="S15" s="210"/>
    </row>
    <row r="16" spans="1:19" ht="11.25" customHeight="1" x14ac:dyDescent="0.2">
      <c r="A16" s="517"/>
      <c r="B16" s="524"/>
      <c r="C16" s="527" t="s">
        <v>211</v>
      </c>
      <c r="D16" s="41"/>
      <c r="E16" s="42"/>
      <c r="F16" s="42"/>
      <c r="G16" s="42"/>
      <c r="H16" s="42"/>
      <c r="I16" s="42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19" ht="11.25" customHeight="1" x14ac:dyDescent="0.2">
      <c r="A17" s="517"/>
      <c r="B17" s="524"/>
      <c r="C17" s="528"/>
      <c r="D17" s="43"/>
      <c r="E17" s="208">
        <v>0.05</v>
      </c>
      <c r="F17" s="182"/>
      <c r="G17" s="182"/>
      <c r="H17" s="208"/>
      <c r="I17" s="182"/>
      <c r="J17" s="214"/>
      <c r="K17" s="213"/>
      <c r="L17" s="213"/>
      <c r="M17" s="210"/>
      <c r="N17" s="210"/>
      <c r="O17" s="210"/>
      <c r="P17" s="210"/>
      <c r="Q17" s="210"/>
      <c r="R17" s="210"/>
      <c r="S17" s="210"/>
    </row>
    <row r="18" spans="1:19" ht="11.25" customHeight="1" x14ac:dyDescent="0.2">
      <c r="A18" s="517"/>
      <c r="B18" s="524"/>
      <c r="C18" s="528"/>
      <c r="D18" s="43"/>
      <c r="E18" s="208"/>
      <c r="F18" s="212"/>
      <c r="G18" s="133"/>
      <c r="H18" s="208">
        <v>0.12</v>
      </c>
      <c r="I18" s="182"/>
      <c r="J18" s="134" t="s">
        <v>63</v>
      </c>
      <c r="K18" s="213">
        <v>18</v>
      </c>
      <c r="L18" s="213">
        <v>5</v>
      </c>
      <c r="M18" s="210">
        <f>SUM(E16:H20)*2</f>
        <v>0.57999999999999996</v>
      </c>
      <c r="N18" s="210">
        <f t="shared" ref="N18:S18" si="2">IF(+$J18=N$5,+$K18*$L18*$M18,0)</f>
        <v>52.199999999999996</v>
      </c>
      <c r="O18" s="210">
        <f t="shared" si="2"/>
        <v>0</v>
      </c>
      <c r="P18" s="210">
        <f t="shared" si="2"/>
        <v>0</v>
      </c>
      <c r="Q18" s="210">
        <f t="shared" si="2"/>
        <v>0</v>
      </c>
      <c r="R18" s="210">
        <f t="shared" si="2"/>
        <v>0</v>
      </c>
      <c r="S18" s="210">
        <f t="shared" si="2"/>
        <v>0</v>
      </c>
    </row>
    <row r="19" spans="1:19" ht="11.25" customHeight="1" x14ac:dyDescent="0.2">
      <c r="A19" s="517"/>
      <c r="B19" s="524"/>
      <c r="C19" s="528"/>
      <c r="D19" s="43"/>
      <c r="E19" s="182"/>
      <c r="F19" s="224"/>
      <c r="G19" s="224"/>
      <c r="H19" s="182"/>
      <c r="I19" s="182"/>
      <c r="J19" s="210"/>
      <c r="K19" s="213"/>
      <c r="L19" s="213"/>
      <c r="M19" s="210"/>
      <c r="N19" s="210"/>
      <c r="O19" s="210"/>
      <c r="P19" s="210"/>
      <c r="Q19" s="210"/>
      <c r="R19" s="210"/>
      <c r="S19" s="210"/>
    </row>
    <row r="20" spans="1:19" ht="11.25" customHeight="1" x14ac:dyDescent="0.2">
      <c r="A20" s="517"/>
      <c r="B20" s="524"/>
      <c r="C20" s="529"/>
      <c r="D20" s="46"/>
      <c r="E20" s="184"/>
      <c r="F20" s="493">
        <v>0.12</v>
      </c>
      <c r="G20" s="454"/>
      <c r="H20" s="184"/>
      <c r="I20" s="184"/>
      <c r="J20" s="45"/>
      <c r="K20" s="47"/>
      <c r="L20" s="47"/>
      <c r="M20" s="48"/>
      <c r="N20" s="48"/>
      <c r="O20" s="210"/>
      <c r="P20" s="210"/>
      <c r="Q20" s="210"/>
      <c r="R20" s="210"/>
      <c r="S20" s="210"/>
    </row>
    <row r="21" spans="1:19" ht="11.25" customHeight="1" x14ac:dyDescent="0.2">
      <c r="A21" s="517"/>
      <c r="B21" s="524"/>
      <c r="C21" s="527" t="s">
        <v>212</v>
      </c>
      <c r="D21" s="41"/>
      <c r="E21" s="42"/>
      <c r="F21" s="42"/>
      <c r="G21" s="42"/>
      <c r="H21" s="42"/>
      <c r="I21" s="42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19" ht="11.25" customHeight="1" x14ac:dyDescent="0.2">
      <c r="A22" s="517"/>
      <c r="B22" s="524"/>
      <c r="C22" s="528"/>
      <c r="D22" s="43"/>
      <c r="E22" s="208">
        <v>0.05</v>
      </c>
      <c r="F22" s="182"/>
      <c r="G22" s="182"/>
      <c r="H22" s="208"/>
      <c r="I22" s="182"/>
      <c r="J22" s="214"/>
      <c r="K22" s="213"/>
      <c r="L22" s="213"/>
      <c r="M22" s="210"/>
      <c r="N22" s="210"/>
      <c r="O22" s="210"/>
      <c r="P22" s="210"/>
      <c r="Q22" s="210"/>
      <c r="R22" s="210"/>
      <c r="S22" s="210"/>
    </row>
    <row r="23" spans="1:19" ht="11.25" customHeight="1" x14ac:dyDescent="0.2">
      <c r="A23" s="517"/>
      <c r="B23" s="524"/>
      <c r="C23" s="528"/>
      <c r="D23" s="43"/>
      <c r="E23" s="208"/>
      <c r="F23" s="212"/>
      <c r="G23" s="133"/>
      <c r="H23" s="208">
        <v>0.12</v>
      </c>
      <c r="I23" s="182"/>
      <c r="J23" s="134" t="s">
        <v>63</v>
      </c>
      <c r="K23" s="213">
        <v>20</v>
      </c>
      <c r="L23" s="213">
        <v>5</v>
      </c>
      <c r="M23" s="210">
        <f>SUM(E21:H25)*2</f>
        <v>0.57999999999999996</v>
      </c>
      <c r="N23" s="210">
        <f t="shared" ref="N23:S23" si="3">IF(+$J23=N$5,+$K23*$L23*$M23,0)</f>
        <v>57.999999999999993</v>
      </c>
      <c r="O23" s="210">
        <f t="shared" si="3"/>
        <v>0</v>
      </c>
      <c r="P23" s="210">
        <f t="shared" si="3"/>
        <v>0</v>
      </c>
      <c r="Q23" s="210">
        <f t="shared" si="3"/>
        <v>0</v>
      </c>
      <c r="R23" s="210">
        <f t="shared" si="3"/>
        <v>0</v>
      </c>
      <c r="S23" s="210">
        <f t="shared" si="3"/>
        <v>0</v>
      </c>
    </row>
    <row r="24" spans="1:19" ht="11.25" customHeight="1" x14ac:dyDescent="0.2">
      <c r="A24" s="517"/>
      <c r="B24" s="524"/>
      <c r="C24" s="528"/>
      <c r="D24" s="43"/>
      <c r="E24" s="182"/>
      <c r="F24" s="224"/>
      <c r="G24" s="224"/>
      <c r="H24" s="182"/>
      <c r="I24" s="182"/>
      <c r="J24" s="210"/>
      <c r="K24" s="213"/>
      <c r="L24" s="213"/>
      <c r="M24" s="210"/>
      <c r="N24" s="210"/>
      <c r="O24" s="210"/>
      <c r="P24" s="210"/>
      <c r="Q24" s="210"/>
      <c r="R24" s="210"/>
      <c r="S24" s="210"/>
    </row>
    <row r="25" spans="1:19" ht="11.25" customHeight="1" x14ac:dyDescent="0.2">
      <c r="A25" s="517"/>
      <c r="B25" s="524"/>
      <c r="C25" s="529"/>
      <c r="D25" s="46"/>
      <c r="E25" s="225"/>
      <c r="F25" s="501">
        <v>0.12</v>
      </c>
      <c r="G25" s="502"/>
      <c r="H25" s="184"/>
      <c r="I25" s="184"/>
      <c r="J25" s="45"/>
      <c r="K25" s="47"/>
      <c r="L25" s="47"/>
      <c r="M25" s="48"/>
      <c r="N25" s="48"/>
      <c r="O25" s="210"/>
      <c r="P25" s="210"/>
      <c r="Q25" s="210"/>
      <c r="R25" s="210"/>
      <c r="S25" s="210"/>
    </row>
    <row r="26" spans="1:19" ht="11.25" customHeight="1" x14ac:dyDescent="0.2">
      <c r="A26" s="517"/>
      <c r="B26" s="524"/>
      <c r="C26" s="530" t="s">
        <v>206</v>
      </c>
      <c r="D26" s="41"/>
      <c r="E26" s="182"/>
      <c r="F26" s="182"/>
      <c r="G26" s="208">
        <v>0.46</v>
      </c>
      <c r="H26" s="42"/>
      <c r="I26" s="42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19" ht="11.25" customHeight="1" x14ac:dyDescent="0.2">
      <c r="A27" s="517"/>
      <c r="B27" s="524"/>
      <c r="C27" s="531"/>
      <c r="D27" s="43"/>
      <c r="E27" s="224"/>
      <c r="F27" s="182"/>
      <c r="G27" s="182"/>
      <c r="H27" s="224"/>
      <c r="I27" s="182"/>
      <c r="J27" s="214"/>
      <c r="K27" s="213"/>
      <c r="L27" s="213"/>
      <c r="M27" s="210"/>
      <c r="N27" s="210"/>
      <c r="O27" s="210"/>
      <c r="P27" s="210"/>
      <c r="Q27" s="210"/>
      <c r="R27" s="210"/>
      <c r="S27" s="210"/>
    </row>
    <row r="28" spans="1:19" ht="11.25" customHeight="1" x14ac:dyDescent="0.2">
      <c r="A28" s="517"/>
      <c r="B28" s="524"/>
      <c r="C28" s="531"/>
      <c r="D28" s="43"/>
      <c r="E28" s="208">
        <v>0.15</v>
      </c>
      <c r="F28" s="493"/>
      <c r="G28" s="493"/>
      <c r="H28" s="208"/>
      <c r="I28" s="182"/>
      <c r="J28" s="134" t="s">
        <v>60</v>
      </c>
      <c r="K28" s="213">
        <v>3</v>
      </c>
      <c r="L28" s="213">
        <v>17</v>
      </c>
      <c r="M28" s="210">
        <f>SUM(E26:I30)</f>
        <v>0.61</v>
      </c>
      <c r="N28" s="210">
        <f t="shared" ref="N28:S28" si="4">IF(+$J28=N$5,+$K28*$L28*$M28,0)</f>
        <v>0</v>
      </c>
      <c r="O28" s="210">
        <f t="shared" si="4"/>
        <v>31.11</v>
      </c>
      <c r="P28" s="210">
        <f t="shared" si="4"/>
        <v>0</v>
      </c>
      <c r="Q28" s="210">
        <f t="shared" si="4"/>
        <v>0</v>
      </c>
      <c r="R28" s="210">
        <f t="shared" si="4"/>
        <v>0</v>
      </c>
      <c r="S28" s="210">
        <f t="shared" si="4"/>
        <v>0</v>
      </c>
    </row>
    <row r="29" spans="1:19" ht="11.25" customHeight="1" x14ac:dyDescent="0.2">
      <c r="A29" s="517"/>
      <c r="B29" s="524"/>
      <c r="C29" s="531"/>
      <c r="D29" s="43"/>
      <c r="E29" s="182"/>
      <c r="F29" s="208"/>
      <c r="G29" s="208"/>
      <c r="H29" s="182"/>
      <c r="I29" s="182"/>
      <c r="J29" s="210"/>
      <c r="K29" s="213"/>
      <c r="L29" s="213"/>
      <c r="M29" s="210"/>
      <c r="N29" s="210"/>
      <c r="O29" s="210"/>
      <c r="P29" s="210"/>
      <c r="Q29" s="210"/>
      <c r="R29" s="210"/>
      <c r="S29" s="210"/>
    </row>
    <row r="30" spans="1:19" ht="11.25" customHeight="1" x14ac:dyDescent="0.2">
      <c r="A30" s="517"/>
      <c r="B30" s="524"/>
      <c r="C30" s="532"/>
      <c r="D30" s="46"/>
      <c r="E30" s="184"/>
      <c r="F30" s="225"/>
      <c r="G30" s="231"/>
      <c r="H30" s="225"/>
      <c r="I30" s="184"/>
      <c r="J30" s="45"/>
      <c r="K30" s="47"/>
      <c r="L30" s="47"/>
      <c r="M30" s="48"/>
      <c r="N30" s="48"/>
      <c r="O30" s="210"/>
      <c r="P30" s="210"/>
      <c r="Q30" s="210"/>
      <c r="R30" s="210"/>
      <c r="S30" s="210"/>
    </row>
    <row r="31" spans="1:19" ht="11.25" customHeight="1" x14ac:dyDescent="0.2">
      <c r="A31" s="517"/>
      <c r="B31" s="520" t="s">
        <v>76</v>
      </c>
      <c r="C31" s="520" t="s">
        <v>213</v>
      </c>
      <c r="D31" s="42"/>
      <c r="E31" s="42"/>
      <c r="F31" s="224"/>
      <c r="G31" s="224"/>
      <c r="H31" s="182"/>
      <c r="I31" s="42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19" ht="11.25" customHeight="1" x14ac:dyDescent="0.2">
      <c r="A32" s="517"/>
      <c r="B32" s="521"/>
      <c r="C32" s="521"/>
      <c r="D32" s="182"/>
      <c r="E32" s="208"/>
      <c r="F32" s="133"/>
      <c r="G32" s="503">
        <v>5.0199999999999996</v>
      </c>
      <c r="H32" s="208"/>
      <c r="I32" s="182"/>
      <c r="J32" s="214"/>
      <c r="K32" s="213"/>
      <c r="L32" s="213"/>
      <c r="M32" s="210"/>
      <c r="N32" s="210"/>
      <c r="O32" s="210"/>
      <c r="P32" s="210"/>
      <c r="Q32" s="210"/>
      <c r="R32" s="210"/>
      <c r="S32" s="210"/>
    </row>
    <row r="33" spans="1:19" ht="11.25" customHeight="1" x14ac:dyDescent="0.2">
      <c r="A33" s="517"/>
      <c r="B33" s="521"/>
      <c r="C33" s="521"/>
      <c r="D33" s="182"/>
      <c r="E33" s="208"/>
      <c r="F33" s="224"/>
      <c r="G33" s="503"/>
      <c r="H33" s="208"/>
      <c r="I33" s="182"/>
      <c r="J33" s="134" t="s">
        <v>60</v>
      </c>
      <c r="K33" s="213">
        <v>4</v>
      </c>
      <c r="L33" s="213">
        <v>2</v>
      </c>
      <c r="M33" s="210">
        <f>SUM(E32:I35)</f>
        <v>5.1199999999999992</v>
      </c>
      <c r="N33" s="210">
        <f t="shared" ref="N33:S33" si="5">IF(+$J33=N$5,+$K33*$L33*$M33,0)</f>
        <v>0</v>
      </c>
      <c r="O33" s="210">
        <f t="shared" si="5"/>
        <v>40.959999999999994</v>
      </c>
      <c r="P33" s="210">
        <f t="shared" si="5"/>
        <v>0</v>
      </c>
      <c r="Q33" s="210">
        <f t="shared" si="5"/>
        <v>0</v>
      </c>
      <c r="R33" s="210">
        <f t="shared" si="5"/>
        <v>0</v>
      </c>
      <c r="S33" s="210">
        <f t="shared" si="5"/>
        <v>0</v>
      </c>
    </row>
    <row r="34" spans="1:19" ht="17.25" customHeight="1" x14ac:dyDescent="0.2">
      <c r="A34" s="517"/>
      <c r="B34" s="521"/>
      <c r="C34" s="521"/>
      <c r="D34" s="182"/>
      <c r="E34" s="182">
        <v>0.05</v>
      </c>
      <c r="F34" s="208"/>
      <c r="G34" s="208"/>
      <c r="H34" s="182"/>
      <c r="I34" s="230">
        <v>0.05</v>
      </c>
      <c r="J34" s="210"/>
      <c r="K34" s="213"/>
      <c r="L34" s="213"/>
      <c r="M34" s="210"/>
      <c r="N34" s="210"/>
      <c r="O34" s="210"/>
      <c r="P34" s="210"/>
      <c r="Q34" s="210"/>
      <c r="R34" s="210"/>
      <c r="S34" s="210"/>
    </row>
    <row r="35" spans="1:19" ht="11.25" customHeight="1" x14ac:dyDescent="0.2">
      <c r="A35" s="517"/>
      <c r="B35" s="521"/>
      <c r="C35" s="522"/>
      <c r="D35" s="184"/>
      <c r="E35" s="184"/>
      <c r="F35" s="224"/>
      <c r="G35" s="224"/>
      <c r="H35" s="184"/>
      <c r="I35" s="184"/>
      <c r="J35" s="45"/>
      <c r="K35" s="47"/>
      <c r="L35" s="47"/>
      <c r="M35" s="48"/>
      <c r="N35" s="48"/>
      <c r="O35" s="210"/>
      <c r="P35" s="210"/>
      <c r="Q35" s="210"/>
      <c r="R35" s="210"/>
      <c r="S35" s="210"/>
    </row>
    <row r="36" spans="1:19" ht="11.25" customHeight="1" x14ac:dyDescent="0.2">
      <c r="A36" s="517"/>
      <c r="B36" s="521"/>
      <c r="C36" s="520" t="s">
        <v>316</v>
      </c>
      <c r="D36" s="42"/>
      <c r="E36" s="42"/>
      <c r="F36" s="42"/>
      <c r="G36" s="42"/>
      <c r="H36" s="42"/>
      <c r="I36" s="42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19" ht="11.25" customHeight="1" x14ac:dyDescent="0.2">
      <c r="A37" s="517"/>
      <c r="B37" s="521"/>
      <c r="C37" s="521"/>
      <c r="D37" s="182"/>
      <c r="E37" s="208"/>
      <c r="F37" s="133"/>
      <c r="G37" s="503">
        <v>1.57</v>
      </c>
      <c r="H37" s="208"/>
      <c r="I37" s="182"/>
      <c r="J37" s="214"/>
      <c r="K37" s="213"/>
      <c r="L37" s="213"/>
      <c r="M37" s="210"/>
      <c r="N37" s="210"/>
      <c r="O37" s="210"/>
      <c r="P37" s="210"/>
      <c r="Q37" s="210"/>
      <c r="R37" s="210"/>
      <c r="S37" s="210"/>
    </row>
    <row r="38" spans="1:19" ht="11.25" customHeight="1" x14ac:dyDescent="0.2">
      <c r="A38" s="517"/>
      <c r="B38" s="521"/>
      <c r="C38" s="521"/>
      <c r="D38" s="182"/>
      <c r="E38" s="208"/>
      <c r="F38" s="224"/>
      <c r="G38" s="503"/>
      <c r="H38" s="208"/>
      <c r="I38" s="182"/>
      <c r="J38" s="134" t="s">
        <v>60</v>
      </c>
      <c r="K38" s="213">
        <v>4</v>
      </c>
      <c r="L38" s="213">
        <v>4</v>
      </c>
      <c r="M38" s="210">
        <f>SUM(D37:I40)</f>
        <v>1.6700000000000002</v>
      </c>
      <c r="N38" s="210">
        <f t="shared" ref="N38:P38" si="6">IF(+$J38=N$5,+$K38*$L38*$M38,0)</f>
        <v>0</v>
      </c>
      <c r="O38" s="210">
        <f t="shared" si="6"/>
        <v>26.720000000000002</v>
      </c>
      <c r="P38" s="210">
        <f t="shared" si="6"/>
        <v>0</v>
      </c>
      <c r="Q38" s="210">
        <f t="shared" ref="Q38:S38" si="7">IF(+$J38=Q$4,+$K38*$L38*$M38,0)</f>
        <v>0</v>
      </c>
      <c r="R38" s="210">
        <f t="shared" si="7"/>
        <v>0</v>
      </c>
      <c r="S38" s="210">
        <f t="shared" si="7"/>
        <v>0</v>
      </c>
    </row>
    <row r="39" spans="1:19" ht="12.75" customHeight="1" x14ac:dyDescent="0.2">
      <c r="A39" s="517"/>
      <c r="B39" s="521"/>
      <c r="C39" s="521"/>
      <c r="D39" s="182"/>
      <c r="E39" s="182">
        <v>0.05</v>
      </c>
      <c r="F39" s="208"/>
      <c r="G39" s="208"/>
      <c r="H39" s="182"/>
      <c r="I39" s="230">
        <v>0.05</v>
      </c>
      <c r="J39" s="210"/>
      <c r="K39" s="213"/>
      <c r="L39" s="213"/>
      <c r="M39" s="210"/>
      <c r="N39" s="210"/>
      <c r="O39" s="210"/>
      <c r="P39" s="210"/>
      <c r="Q39" s="210"/>
      <c r="R39" s="210"/>
      <c r="S39" s="210"/>
    </row>
    <row r="40" spans="1:19" ht="11.25" customHeight="1" x14ac:dyDescent="0.2">
      <c r="A40" s="517"/>
      <c r="B40" s="521"/>
      <c r="C40" s="522"/>
      <c r="D40" s="184"/>
      <c r="E40" s="184"/>
      <c r="F40" s="233"/>
      <c r="G40" s="233"/>
      <c r="H40" s="184"/>
      <c r="I40" s="184"/>
      <c r="J40" s="45"/>
      <c r="K40" s="47"/>
      <c r="L40" s="47"/>
      <c r="M40" s="48"/>
      <c r="N40" s="48"/>
      <c r="O40" s="48"/>
      <c r="P40" s="48"/>
      <c r="Q40" s="48"/>
      <c r="R40" s="48"/>
      <c r="S40" s="48"/>
    </row>
    <row r="41" spans="1:19" ht="11.25" customHeight="1" x14ac:dyDescent="0.2">
      <c r="A41" s="517"/>
      <c r="B41" s="521"/>
      <c r="C41" s="520" t="s">
        <v>214</v>
      </c>
      <c r="D41" s="182"/>
      <c r="E41" s="182"/>
      <c r="F41" s="182"/>
      <c r="G41" s="182">
        <v>0.12</v>
      </c>
      <c r="H41" s="182"/>
      <c r="I41" s="182"/>
      <c r="J41" s="214"/>
      <c r="K41" s="210"/>
      <c r="L41" s="210"/>
      <c r="M41" s="210"/>
      <c r="N41" s="210"/>
      <c r="O41" s="210"/>
      <c r="P41" s="210"/>
      <c r="Q41" s="210"/>
      <c r="R41" s="210"/>
      <c r="S41" s="210"/>
    </row>
    <row r="42" spans="1:19" ht="11.25" customHeight="1" x14ac:dyDescent="0.2">
      <c r="A42" s="517"/>
      <c r="B42" s="521"/>
      <c r="C42" s="521"/>
      <c r="D42" s="182"/>
      <c r="E42" s="182">
        <v>0.1</v>
      </c>
      <c r="F42" s="182"/>
      <c r="G42" s="182"/>
      <c r="H42" s="182"/>
      <c r="I42" s="182"/>
      <c r="J42" s="214"/>
      <c r="K42" s="210"/>
      <c r="L42" s="210"/>
      <c r="M42" s="210"/>
      <c r="N42" s="210"/>
      <c r="O42" s="210"/>
      <c r="P42" s="210"/>
      <c r="Q42" s="210"/>
      <c r="R42" s="210"/>
      <c r="S42" s="210"/>
    </row>
    <row r="43" spans="1:19" ht="11.25" customHeight="1" x14ac:dyDescent="0.2">
      <c r="A43" s="517"/>
      <c r="B43" s="521"/>
      <c r="C43" s="521"/>
      <c r="D43" s="224"/>
      <c r="E43" s="208"/>
      <c r="F43" s="224">
        <v>0.15</v>
      </c>
      <c r="G43" s="182"/>
      <c r="H43" s="182">
        <v>0.12</v>
      </c>
      <c r="I43" s="182"/>
      <c r="J43" s="134" t="s">
        <v>63</v>
      </c>
      <c r="K43" s="213">
        <v>37</v>
      </c>
      <c r="L43" s="213">
        <v>2</v>
      </c>
      <c r="M43" s="210">
        <f>SUM(E41:H45)</f>
        <v>0.61</v>
      </c>
      <c r="N43" s="210">
        <f t="shared" ref="N43:S43" si="8">IF(+$J43=N$5,+$K43*$L43*$M43,0)</f>
        <v>45.14</v>
      </c>
      <c r="O43" s="210">
        <f t="shared" si="8"/>
        <v>0</v>
      </c>
      <c r="P43" s="210">
        <f t="shared" si="8"/>
        <v>0</v>
      </c>
      <c r="Q43" s="210">
        <f t="shared" si="8"/>
        <v>0</v>
      </c>
      <c r="R43" s="210">
        <f t="shared" si="8"/>
        <v>0</v>
      </c>
      <c r="S43" s="210">
        <f t="shared" si="8"/>
        <v>0</v>
      </c>
    </row>
    <row r="44" spans="1:19" ht="11.25" customHeight="1" x14ac:dyDescent="0.2">
      <c r="A44" s="517"/>
      <c r="B44" s="521"/>
      <c r="C44" s="521"/>
      <c r="D44" s="182"/>
      <c r="E44" s="208"/>
      <c r="F44" s="182"/>
      <c r="G44" s="182"/>
      <c r="H44" s="182"/>
      <c r="I44" s="182"/>
      <c r="J44" s="210"/>
      <c r="K44" s="213"/>
      <c r="L44" s="213"/>
      <c r="M44" s="210"/>
      <c r="N44" s="210"/>
      <c r="O44" s="210"/>
      <c r="P44" s="210"/>
      <c r="Q44" s="210"/>
      <c r="R44" s="210"/>
      <c r="S44" s="210"/>
    </row>
    <row r="45" spans="1:19" ht="11.25" customHeight="1" x14ac:dyDescent="0.2">
      <c r="A45" s="517"/>
      <c r="B45" s="521"/>
      <c r="C45" s="522"/>
      <c r="D45" s="182"/>
      <c r="E45" s="182"/>
      <c r="F45" s="224"/>
      <c r="G45" s="182">
        <v>0.12</v>
      </c>
      <c r="H45" s="182"/>
      <c r="I45" s="182"/>
      <c r="J45" s="214"/>
      <c r="K45" s="213"/>
      <c r="L45" s="213"/>
      <c r="M45" s="210"/>
      <c r="N45" s="210"/>
      <c r="O45" s="210"/>
      <c r="P45" s="210"/>
      <c r="Q45" s="210"/>
      <c r="R45" s="210"/>
      <c r="S45" s="210"/>
    </row>
    <row r="46" spans="1:19" ht="11.25" customHeight="1" x14ac:dyDescent="0.2">
      <c r="A46" s="517"/>
      <c r="B46" s="521"/>
      <c r="C46" s="520" t="s">
        <v>317</v>
      </c>
      <c r="D46" s="41"/>
      <c r="E46" s="42"/>
      <c r="F46" s="42"/>
      <c r="G46" s="42"/>
      <c r="H46" s="42"/>
      <c r="I46" s="42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19" ht="11.25" customHeight="1" x14ac:dyDescent="0.2">
      <c r="A47" s="517"/>
      <c r="B47" s="521"/>
      <c r="C47" s="521"/>
      <c r="D47" s="43"/>
      <c r="E47" s="208">
        <v>0.05</v>
      </c>
      <c r="F47" s="182"/>
      <c r="G47" s="182"/>
      <c r="H47" s="208"/>
      <c r="I47" s="182"/>
      <c r="J47" s="214"/>
      <c r="K47" s="214"/>
      <c r="L47" s="214"/>
      <c r="M47" s="214"/>
      <c r="N47" s="214"/>
      <c r="O47" s="214"/>
      <c r="P47" s="214"/>
      <c r="Q47" s="214"/>
      <c r="R47" s="214"/>
      <c r="S47" s="214"/>
    </row>
    <row r="48" spans="1:19" ht="11.25" customHeight="1" x14ac:dyDescent="0.2">
      <c r="A48" s="517"/>
      <c r="B48" s="521"/>
      <c r="C48" s="521"/>
      <c r="D48" s="43"/>
      <c r="E48" s="208"/>
      <c r="F48" s="212"/>
      <c r="G48" s="133"/>
      <c r="H48" s="208">
        <v>0.12</v>
      </c>
      <c r="I48" s="182"/>
      <c r="J48" s="134" t="s">
        <v>63</v>
      </c>
      <c r="K48" s="213">
        <v>11</v>
      </c>
      <c r="L48" s="213">
        <v>4</v>
      </c>
      <c r="M48" s="210">
        <f>SUM(E46:H50)*2</f>
        <v>0.57999999999999996</v>
      </c>
      <c r="N48" s="210">
        <f t="shared" ref="N48:S48" si="9">IF(+$J48=N$5,+$K48*$L48*$M48,0)</f>
        <v>25.52</v>
      </c>
      <c r="O48" s="210">
        <f t="shared" si="9"/>
        <v>0</v>
      </c>
      <c r="P48" s="210">
        <f t="shared" si="9"/>
        <v>0</v>
      </c>
      <c r="Q48" s="210">
        <f t="shared" si="9"/>
        <v>0</v>
      </c>
      <c r="R48" s="210">
        <f t="shared" si="9"/>
        <v>0</v>
      </c>
      <c r="S48" s="210">
        <f t="shared" si="9"/>
        <v>0</v>
      </c>
    </row>
    <row r="49" spans="1:19" ht="12.75" customHeight="1" x14ac:dyDescent="0.2">
      <c r="A49" s="517"/>
      <c r="B49" s="521"/>
      <c r="C49" s="521"/>
      <c r="D49" s="43"/>
      <c r="E49" s="182"/>
      <c r="F49" s="224"/>
      <c r="G49" s="224"/>
      <c r="H49" s="182"/>
      <c r="I49" s="182"/>
      <c r="J49" s="214"/>
      <c r="K49" s="213"/>
      <c r="L49" s="213"/>
      <c r="M49" s="210"/>
      <c r="N49" s="210"/>
      <c r="O49" s="210"/>
      <c r="P49" s="210"/>
      <c r="Q49" s="210"/>
      <c r="R49" s="210"/>
      <c r="S49" s="210"/>
    </row>
    <row r="50" spans="1:19" ht="11.25" customHeight="1" x14ac:dyDescent="0.2">
      <c r="A50" s="517"/>
      <c r="B50" s="521"/>
      <c r="C50" s="522"/>
      <c r="D50" s="46"/>
      <c r="E50" s="225"/>
      <c r="F50" s="501">
        <v>0.12</v>
      </c>
      <c r="G50" s="502"/>
      <c r="H50" s="184"/>
      <c r="I50" s="184"/>
      <c r="J50" s="226"/>
      <c r="K50" s="227"/>
      <c r="L50" s="227"/>
      <c r="M50" s="228"/>
      <c r="N50" s="228"/>
      <c r="O50" s="228"/>
      <c r="P50" s="228"/>
      <c r="Q50" s="228"/>
      <c r="R50" s="228"/>
      <c r="S50" s="228"/>
    </row>
    <row r="51" spans="1:19" ht="11.25" customHeight="1" x14ac:dyDescent="0.2">
      <c r="A51" s="135"/>
      <c r="B51" s="135"/>
      <c r="C51" s="135"/>
      <c r="D51" s="216"/>
      <c r="E51" s="217"/>
      <c r="F51" s="217"/>
      <c r="G51" s="217"/>
      <c r="H51" s="217"/>
      <c r="I51" s="217"/>
      <c r="J51" s="494" t="s">
        <v>71</v>
      </c>
      <c r="K51" s="495"/>
      <c r="L51" s="495"/>
      <c r="M51" s="496"/>
      <c r="N51" s="218">
        <f t="shared" ref="N51:S51" si="10">SUM(N6:N50)</f>
        <v>180.85999999999999</v>
      </c>
      <c r="O51" s="218">
        <f t="shared" si="10"/>
        <v>199.59</v>
      </c>
      <c r="P51" s="218">
        <f t="shared" si="10"/>
        <v>0</v>
      </c>
      <c r="Q51" s="218">
        <f t="shared" si="10"/>
        <v>0</v>
      </c>
      <c r="R51" s="218">
        <f t="shared" si="10"/>
        <v>0</v>
      </c>
      <c r="S51" s="218">
        <f t="shared" si="10"/>
        <v>0</v>
      </c>
    </row>
    <row r="52" spans="1:19" ht="11.25" customHeight="1" x14ac:dyDescent="0.2">
      <c r="A52" s="4"/>
      <c r="B52" s="4"/>
      <c r="C52" s="4"/>
      <c r="D52" s="26"/>
      <c r="E52" s="38"/>
      <c r="F52" s="38"/>
      <c r="G52" s="38"/>
      <c r="H52" s="38"/>
      <c r="I52" s="38"/>
      <c r="J52" s="467" t="s">
        <v>72</v>
      </c>
      <c r="K52" s="497"/>
      <c r="L52" s="497"/>
      <c r="M52" s="460"/>
      <c r="N52" s="39">
        <v>0.222</v>
      </c>
      <c r="O52" s="39">
        <v>0.56000000000000005</v>
      </c>
      <c r="P52" s="39">
        <v>0.99399999999999999</v>
      </c>
      <c r="Q52" s="39">
        <v>1.552</v>
      </c>
      <c r="R52" s="39">
        <v>2.2349999999999999</v>
      </c>
      <c r="S52" s="39">
        <v>3.9729999999999999</v>
      </c>
    </row>
    <row r="53" spans="1:19" ht="11.25" customHeight="1" x14ac:dyDescent="0.2">
      <c r="A53" s="4"/>
      <c r="B53" s="4"/>
      <c r="C53" s="4"/>
      <c r="D53" s="26"/>
      <c r="E53" s="38"/>
      <c r="F53" s="38"/>
      <c r="G53" s="38"/>
      <c r="H53" s="38"/>
      <c r="I53" s="38"/>
      <c r="J53" s="498" t="s">
        <v>73</v>
      </c>
      <c r="K53" s="499"/>
      <c r="L53" s="499"/>
      <c r="M53" s="500"/>
      <c r="N53" s="215">
        <f t="shared" ref="N53:Q53" si="11">+N51*N52</f>
        <v>40.150919999999999</v>
      </c>
      <c r="O53" s="215">
        <f t="shared" si="11"/>
        <v>111.77040000000001</v>
      </c>
      <c r="P53" s="215">
        <f t="shared" si="11"/>
        <v>0</v>
      </c>
      <c r="Q53" s="215">
        <f t="shared" si="11"/>
        <v>0</v>
      </c>
      <c r="R53" s="215">
        <f t="shared" ref="R53:S53" si="12">+R52*R51</f>
        <v>0</v>
      </c>
      <c r="S53" s="215">
        <f t="shared" si="12"/>
        <v>0</v>
      </c>
    </row>
    <row r="54" spans="1:19" ht="11.25" customHeight="1" x14ac:dyDescent="0.2">
      <c r="A54" s="4"/>
      <c r="B54" s="4"/>
      <c r="C54" s="4"/>
      <c r="D54" s="26"/>
      <c r="E54" s="26"/>
      <c r="F54" s="26"/>
      <c r="G54" s="26"/>
      <c r="H54" s="26"/>
      <c r="I54" s="26"/>
      <c r="J54" s="468" t="s">
        <v>74</v>
      </c>
      <c r="K54" s="497"/>
      <c r="L54" s="497"/>
      <c r="M54" s="460"/>
      <c r="N54" s="469">
        <f>SUM(N53:S53)*1.05</f>
        <v>159.51738600000002</v>
      </c>
      <c r="O54" s="497"/>
      <c r="P54" s="497"/>
      <c r="Q54" s="497"/>
      <c r="R54" s="497"/>
      <c r="S54" s="460"/>
    </row>
    <row r="55" spans="1:19" ht="11.25" customHeight="1" x14ac:dyDescent="0.2"/>
    <row r="56" spans="1:19" ht="11.25" customHeight="1" x14ac:dyDescent="0.2"/>
    <row r="57" spans="1:19" ht="11.25" customHeight="1" x14ac:dyDescent="0.2"/>
    <row r="58" spans="1:19" ht="11.25" customHeight="1" x14ac:dyDescent="0.2"/>
    <row r="59" spans="1:19" ht="11.25" customHeight="1" x14ac:dyDescent="0.2"/>
    <row r="60" spans="1:19" ht="11.25" customHeight="1" x14ac:dyDescent="0.2"/>
    <row r="61" spans="1:19" ht="11.25" customHeight="1" x14ac:dyDescent="0.2"/>
    <row r="62" spans="1:19" ht="11.25" customHeight="1" x14ac:dyDescent="0.2"/>
    <row r="63" spans="1:19" ht="11.25" customHeight="1" x14ac:dyDescent="0.2"/>
    <row r="64" spans="1:19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</sheetData>
  <mergeCells count="35">
    <mergeCell ref="B6:B30"/>
    <mergeCell ref="C6:C10"/>
    <mergeCell ref="C11:C15"/>
    <mergeCell ref="C16:C20"/>
    <mergeCell ref="C21:C25"/>
    <mergeCell ref="C26:C30"/>
    <mergeCell ref="B31:B50"/>
    <mergeCell ref="C31:C35"/>
    <mergeCell ref="C36:C40"/>
    <mergeCell ref="C41:C45"/>
    <mergeCell ref="C46:C50"/>
    <mergeCell ref="J54:M54"/>
    <mergeCell ref="N54:S54"/>
    <mergeCell ref="A1:S1"/>
    <mergeCell ref="A2:S2"/>
    <mergeCell ref="A3:S3"/>
    <mergeCell ref="A4:C5"/>
    <mergeCell ref="D4:I5"/>
    <mergeCell ref="J4:J5"/>
    <mergeCell ref="K4:K5"/>
    <mergeCell ref="L4:L5"/>
    <mergeCell ref="M4:M5"/>
    <mergeCell ref="N4:S4"/>
    <mergeCell ref="F50:G50"/>
    <mergeCell ref="A6:A50"/>
    <mergeCell ref="G11:G12"/>
    <mergeCell ref="F13:G14"/>
    <mergeCell ref="F20:G20"/>
    <mergeCell ref="F28:G28"/>
    <mergeCell ref="J51:M51"/>
    <mergeCell ref="J52:M52"/>
    <mergeCell ref="J53:M53"/>
    <mergeCell ref="F25:G25"/>
    <mergeCell ref="G32:G33"/>
    <mergeCell ref="G37:G38"/>
  </mergeCells>
  <pageMargins left="0.70866141732283472" right="0.70866141732283472" top="0.35433070866141736" bottom="0.74803149606299213" header="0" footer="0"/>
  <pageSetup paperSize="9" scale="87" fitToHeight="0" orientation="landscape" r:id="rId1"/>
  <headerFooter>
    <oddFooter>&amp;CPágina &amp;P&amp;R&amp;A</oddFooter>
  </headerFooter>
  <rowBreaks count="1" manualBreakCount="1">
    <brk id="3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/>
  </sheetViews>
  <sheetFormatPr baseColWidth="10" defaultColWidth="16.83203125" defaultRowHeight="15" customHeight="1" x14ac:dyDescent="0.2"/>
  <cols>
    <col min="1" max="26" width="10.83203125" customWidth="1"/>
  </cols>
  <sheetData>
    <row r="1" spans="1:22" ht="11.25" customHeight="1" x14ac:dyDescent="0.2">
      <c r="A1" s="546" t="s">
        <v>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9"/>
    </row>
    <row r="2" spans="1:22" ht="11.25" customHeight="1" x14ac:dyDescent="0.3">
      <c r="A2" s="50" t="s">
        <v>78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2"/>
      <c r="T2" s="53" t="s">
        <v>79</v>
      </c>
    </row>
    <row r="3" spans="1:22" ht="11.2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4"/>
    </row>
    <row r="4" spans="1:22" ht="11.25" customHeight="1" x14ac:dyDescent="0.2">
      <c r="A4" s="547" t="s">
        <v>80</v>
      </c>
      <c r="B4" s="542" t="s">
        <v>81</v>
      </c>
      <c r="C4" s="549" t="s">
        <v>82</v>
      </c>
      <c r="D4" s="550"/>
      <c r="E4" s="550"/>
      <c r="F4" s="550"/>
      <c r="G4" s="550"/>
      <c r="H4" s="550"/>
      <c r="I4" s="550"/>
      <c r="J4" s="551"/>
      <c r="K4" s="542" t="s">
        <v>83</v>
      </c>
      <c r="L4" s="542" t="s">
        <v>84</v>
      </c>
      <c r="M4" s="542" t="s">
        <v>85</v>
      </c>
      <c r="N4" s="542" t="s">
        <v>86</v>
      </c>
      <c r="O4" s="543" t="s">
        <v>87</v>
      </c>
      <c r="P4" s="544"/>
      <c r="Q4" s="544"/>
      <c r="R4" s="544"/>
      <c r="S4" s="544"/>
      <c r="T4" s="545"/>
    </row>
    <row r="5" spans="1:22" ht="11.25" customHeight="1" x14ac:dyDescent="0.2">
      <c r="A5" s="548"/>
      <c r="B5" s="456"/>
      <c r="C5" s="447"/>
      <c r="D5" s="552"/>
      <c r="E5" s="552"/>
      <c r="F5" s="552"/>
      <c r="G5" s="552"/>
      <c r="H5" s="552"/>
      <c r="I5" s="552"/>
      <c r="J5" s="448"/>
      <c r="K5" s="456"/>
      <c r="L5" s="456"/>
      <c r="M5" s="456"/>
      <c r="N5" s="456"/>
      <c r="O5" s="55" t="s">
        <v>88</v>
      </c>
      <c r="P5" s="55" t="s">
        <v>89</v>
      </c>
      <c r="Q5" s="55" t="s">
        <v>90</v>
      </c>
      <c r="R5" s="55" t="s">
        <v>91</v>
      </c>
      <c r="S5" s="55" t="s">
        <v>92</v>
      </c>
      <c r="T5" s="56" t="s">
        <v>93</v>
      </c>
    </row>
    <row r="6" spans="1:22" ht="11.25" customHeight="1" x14ac:dyDescent="0.2">
      <c r="A6" s="57" t="s">
        <v>94</v>
      </c>
      <c r="B6" s="58" t="s">
        <v>95</v>
      </c>
      <c r="C6" s="59"/>
      <c r="D6" s="59"/>
      <c r="E6" s="59"/>
      <c r="F6" s="59"/>
      <c r="G6" s="59"/>
      <c r="H6" s="59"/>
      <c r="I6" s="59"/>
      <c r="J6" s="59"/>
      <c r="K6" s="60"/>
      <c r="L6" s="61"/>
      <c r="M6" s="62"/>
      <c r="N6" s="63"/>
      <c r="O6" s="64"/>
      <c r="P6" s="65"/>
      <c r="Q6" s="66"/>
      <c r="R6" s="67"/>
      <c r="S6" s="67"/>
      <c r="T6" s="68"/>
    </row>
    <row r="7" spans="1:22" ht="11.25" customHeight="1" x14ac:dyDescent="0.2">
      <c r="A7" s="69"/>
      <c r="B7" s="70"/>
      <c r="C7" s="71"/>
      <c r="D7" s="71"/>
      <c r="E7" s="71"/>
      <c r="F7" s="71"/>
      <c r="G7" s="71"/>
      <c r="H7" s="71"/>
      <c r="I7" s="71"/>
      <c r="J7" s="71"/>
      <c r="K7" s="60"/>
      <c r="L7" s="61"/>
      <c r="M7" s="72"/>
      <c r="N7" s="63"/>
      <c r="O7" s="73"/>
      <c r="P7" s="74"/>
      <c r="Q7" s="74"/>
      <c r="R7" s="74"/>
      <c r="S7" s="75"/>
      <c r="T7" s="76"/>
    </row>
    <row r="8" spans="1:22" ht="11.25" customHeight="1" x14ac:dyDescent="0.2">
      <c r="A8" s="69"/>
      <c r="B8" s="77" t="s">
        <v>61</v>
      </c>
      <c r="C8" s="78"/>
      <c r="D8" s="71"/>
      <c r="E8" s="71"/>
      <c r="F8" s="540"/>
      <c r="G8" s="439"/>
      <c r="H8" s="79"/>
      <c r="I8" s="71"/>
      <c r="J8" s="71"/>
      <c r="K8" s="80" t="s">
        <v>89</v>
      </c>
      <c r="L8" s="81">
        <v>0.25</v>
      </c>
      <c r="M8" s="82">
        <v>3</v>
      </c>
      <c r="N8" s="83">
        <v>1</v>
      </c>
      <c r="O8" s="73" t="s">
        <v>96</v>
      </c>
      <c r="P8" s="74">
        <v>0.75</v>
      </c>
      <c r="Q8" s="74" t="s">
        <v>96</v>
      </c>
      <c r="R8" s="74" t="s">
        <v>96</v>
      </c>
      <c r="S8" s="75" t="s">
        <v>96</v>
      </c>
      <c r="T8" s="76" t="s">
        <v>96</v>
      </c>
    </row>
    <row r="9" spans="1:22" ht="11.25" customHeight="1" x14ac:dyDescent="0.2">
      <c r="A9" s="69"/>
      <c r="B9" s="77" t="s">
        <v>59</v>
      </c>
      <c r="C9" s="78"/>
      <c r="D9" s="71"/>
      <c r="E9" s="71"/>
      <c r="F9" s="84"/>
      <c r="G9" s="84"/>
      <c r="H9" s="79"/>
      <c r="I9" s="71"/>
      <c r="J9" s="71"/>
      <c r="K9" s="80" t="s">
        <v>89</v>
      </c>
      <c r="L9" s="81">
        <v>0.25</v>
      </c>
      <c r="M9" s="82">
        <v>3</v>
      </c>
      <c r="N9" s="83">
        <v>1</v>
      </c>
      <c r="O9" s="73"/>
      <c r="P9" s="74">
        <v>0.75</v>
      </c>
      <c r="Q9" s="74"/>
      <c r="R9" s="74"/>
      <c r="S9" s="75"/>
      <c r="T9" s="76"/>
    </row>
    <row r="10" spans="1:22" ht="11.25" customHeight="1" x14ac:dyDescent="0.2">
      <c r="A10" s="85"/>
      <c r="B10" s="541" t="s">
        <v>97</v>
      </c>
      <c r="C10" s="459"/>
      <c r="D10" s="459"/>
      <c r="E10" s="459"/>
      <c r="F10" s="459"/>
      <c r="G10" s="459"/>
      <c r="H10" s="459"/>
      <c r="I10" s="459"/>
      <c r="J10" s="459"/>
      <c r="K10" s="459"/>
      <c r="L10" s="459"/>
      <c r="M10" s="459"/>
      <c r="N10" s="460"/>
      <c r="O10" s="86">
        <v>0.25</v>
      </c>
      <c r="P10" s="86">
        <v>0.56000000000000005</v>
      </c>
      <c r="Q10" s="86">
        <v>0.99</v>
      </c>
      <c r="R10" s="86">
        <v>1.55</v>
      </c>
      <c r="S10" s="86">
        <v>2.2400000000000002</v>
      </c>
      <c r="T10" s="87">
        <v>3.97</v>
      </c>
    </row>
    <row r="11" spans="1:22" ht="11.25" customHeight="1" x14ac:dyDescent="0.2">
      <c r="A11" s="85"/>
      <c r="B11" s="533" t="s">
        <v>98</v>
      </c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60"/>
      <c r="O11" s="88">
        <v>0</v>
      </c>
      <c r="P11" s="88">
        <v>1.5</v>
      </c>
      <c r="Q11" s="88">
        <v>0</v>
      </c>
      <c r="R11" s="88">
        <v>0</v>
      </c>
      <c r="S11" s="88">
        <v>0</v>
      </c>
      <c r="T11" s="89">
        <v>0</v>
      </c>
    </row>
    <row r="12" spans="1:22" ht="11.25" customHeight="1" x14ac:dyDescent="0.2">
      <c r="A12" s="85"/>
      <c r="B12" s="533" t="s">
        <v>99</v>
      </c>
      <c r="C12" s="459"/>
      <c r="D12" s="459"/>
      <c r="E12" s="459"/>
      <c r="F12" s="459"/>
      <c r="G12" s="459"/>
      <c r="H12" s="459"/>
      <c r="I12" s="459"/>
      <c r="J12" s="459"/>
      <c r="K12" s="459"/>
      <c r="L12" s="459"/>
      <c r="M12" s="459"/>
      <c r="N12" s="460"/>
      <c r="O12" s="88">
        <v>0</v>
      </c>
      <c r="P12" s="88">
        <v>0.84</v>
      </c>
      <c r="Q12" s="88">
        <v>0</v>
      </c>
      <c r="R12" s="88">
        <v>0</v>
      </c>
      <c r="S12" s="88">
        <v>0</v>
      </c>
      <c r="T12" s="89">
        <v>0</v>
      </c>
      <c r="V12" s="90"/>
    </row>
    <row r="13" spans="1:22" ht="11.25" customHeight="1" x14ac:dyDescent="0.2">
      <c r="A13" s="85"/>
      <c r="B13" s="534" t="s">
        <v>100</v>
      </c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60"/>
      <c r="O13" s="88">
        <v>0</v>
      </c>
      <c r="P13" s="88">
        <v>0.17</v>
      </c>
      <c r="Q13" s="88">
        <v>0</v>
      </c>
      <c r="R13" s="88">
        <v>0</v>
      </c>
      <c r="S13" s="88">
        <v>0</v>
      </c>
      <c r="T13" s="89">
        <v>0</v>
      </c>
    </row>
    <row r="14" spans="1:22" ht="11.25" customHeight="1" x14ac:dyDescent="0.2">
      <c r="A14" s="91"/>
      <c r="B14" s="535" t="s">
        <v>101</v>
      </c>
      <c r="C14" s="536"/>
      <c r="D14" s="536"/>
      <c r="E14" s="536"/>
      <c r="F14" s="536"/>
      <c r="G14" s="536"/>
      <c r="H14" s="536"/>
      <c r="I14" s="536"/>
      <c r="J14" s="536"/>
      <c r="K14" s="536"/>
      <c r="L14" s="536"/>
      <c r="M14" s="536"/>
      <c r="N14" s="537"/>
      <c r="O14" s="538">
        <v>0.84</v>
      </c>
      <c r="P14" s="536"/>
      <c r="Q14" s="536"/>
      <c r="R14" s="536"/>
      <c r="S14" s="536"/>
      <c r="T14" s="539"/>
    </row>
    <row r="15" spans="1:22" ht="11.25" customHeight="1" x14ac:dyDescent="0.2">
      <c r="A15" s="57" t="s">
        <v>102</v>
      </c>
      <c r="B15" s="58" t="s">
        <v>95</v>
      </c>
      <c r="C15" s="59"/>
      <c r="D15" s="59"/>
      <c r="E15" s="59"/>
      <c r="F15" s="59"/>
      <c r="G15" s="59"/>
      <c r="H15" s="59"/>
      <c r="I15" s="59"/>
      <c r="J15" s="59"/>
      <c r="K15" s="60"/>
      <c r="L15" s="61"/>
      <c r="M15" s="62"/>
      <c r="N15" s="63"/>
      <c r="O15" s="64"/>
      <c r="P15" s="65"/>
      <c r="Q15" s="66"/>
      <c r="R15" s="67"/>
      <c r="S15" s="67"/>
      <c r="T15" s="68"/>
    </row>
    <row r="16" spans="1:22" ht="11.25" customHeight="1" x14ac:dyDescent="0.2">
      <c r="A16" s="69"/>
      <c r="B16" s="70"/>
      <c r="C16" s="71"/>
      <c r="D16" s="71"/>
      <c r="E16" s="71"/>
      <c r="F16" s="71"/>
      <c r="G16" s="71"/>
      <c r="H16" s="71"/>
      <c r="I16" s="71"/>
      <c r="J16" s="71"/>
      <c r="K16" s="60"/>
      <c r="L16" s="61"/>
      <c r="M16" s="72"/>
      <c r="N16" s="63"/>
      <c r="O16" s="73"/>
      <c r="P16" s="74"/>
      <c r="Q16" s="74"/>
      <c r="R16" s="74"/>
      <c r="S16" s="75"/>
      <c r="T16" s="76"/>
      <c r="V16" s="49"/>
    </row>
    <row r="17" spans="1:20" ht="11.25" customHeight="1" x14ac:dyDescent="0.2">
      <c r="A17" s="69"/>
      <c r="B17" s="77" t="s">
        <v>103</v>
      </c>
      <c r="C17" s="78"/>
      <c r="D17" s="71"/>
      <c r="E17" s="71"/>
      <c r="F17" s="540"/>
      <c r="G17" s="439"/>
      <c r="H17" s="79"/>
      <c r="I17" s="71"/>
      <c r="J17" s="71"/>
      <c r="K17" s="80" t="s">
        <v>89</v>
      </c>
      <c r="L17" s="81">
        <v>3</v>
      </c>
      <c r="M17" s="82">
        <v>4</v>
      </c>
      <c r="N17" s="83">
        <v>2</v>
      </c>
      <c r="O17" s="73" t="s">
        <v>96</v>
      </c>
      <c r="P17" s="74">
        <v>24</v>
      </c>
      <c r="Q17" s="74" t="s">
        <v>96</v>
      </c>
      <c r="R17" s="74" t="s">
        <v>96</v>
      </c>
      <c r="S17" s="75" t="s">
        <v>96</v>
      </c>
      <c r="T17" s="76" t="s">
        <v>96</v>
      </c>
    </row>
    <row r="18" spans="1:20" ht="11.25" customHeight="1" x14ac:dyDescent="0.2">
      <c r="A18" s="69"/>
      <c r="B18" s="77" t="s">
        <v>104</v>
      </c>
      <c r="C18" s="78"/>
      <c r="D18" s="71"/>
      <c r="E18" s="71"/>
      <c r="F18" s="84"/>
      <c r="G18" s="84"/>
      <c r="H18" s="79"/>
      <c r="I18" s="71"/>
      <c r="J18" s="71"/>
      <c r="K18" s="80" t="s">
        <v>88</v>
      </c>
      <c r="L18" s="81">
        <v>0.54</v>
      </c>
      <c r="M18" s="82">
        <v>22</v>
      </c>
      <c r="N18" s="83">
        <v>2</v>
      </c>
      <c r="O18" s="74">
        <v>23.76</v>
      </c>
      <c r="P18" s="74"/>
      <c r="Q18" s="74"/>
      <c r="R18" s="74"/>
      <c r="S18" s="75"/>
      <c r="T18" s="76"/>
    </row>
    <row r="19" spans="1:20" ht="11.25" customHeight="1" x14ac:dyDescent="0.2">
      <c r="A19" s="69"/>
      <c r="B19" s="77" t="s">
        <v>105</v>
      </c>
      <c r="C19" s="78"/>
      <c r="D19" s="71"/>
      <c r="E19" s="71"/>
      <c r="F19" s="540"/>
      <c r="G19" s="439"/>
      <c r="H19" s="79"/>
      <c r="I19" s="71"/>
      <c r="J19" s="71"/>
      <c r="K19" s="80" t="s">
        <v>89</v>
      </c>
      <c r="L19" s="81">
        <v>3.8</v>
      </c>
      <c r="M19" s="82">
        <v>4</v>
      </c>
      <c r="N19" s="83">
        <v>2</v>
      </c>
      <c r="O19" s="74" t="s">
        <v>96</v>
      </c>
      <c r="P19" s="74">
        <v>30.4</v>
      </c>
      <c r="Q19" s="74" t="s">
        <v>96</v>
      </c>
      <c r="R19" s="74" t="s">
        <v>96</v>
      </c>
      <c r="S19" s="75" t="s">
        <v>96</v>
      </c>
      <c r="T19" s="76" t="s">
        <v>96</v>
      </c>
    </row>
    <row r="20" spans="1:20" ht="11.25" customHeight="1" x14ac:dyDescent="0.2">
      <c r="A20" s="69"/>
      <c r="B20" s="92" t="s">
        <v>104</v>
      </c>
      <c r="C20" s="71"/>
      <c r="D20" s="71"/>
      <c r="E20" s="71"/>
      <c r="F20" s="84"/>
      <c r="G20" s="84"/>
      <c r="H20" s="79"/>
      <c r="I20" s="71"/>
      <c r="J20" s="71"/>
      <c r="K20" s="80" t="s">
        <v>88</v>
      </c>
      <c r="L20" s="93">
        <v>0.54</v>
      </c>
      <c r="M20" s="94">
        <v>27</v>
      </c>
      <c r="N20" s="95">
        <v>2</v>
      </c>
      <c r="O20" s="74">
        <v>29.16</v>
      </c>
      <c r="P20" s="96"/>
      <c r="Q20" s="96"/>
      <c r="R20" s="96"/>
      <c r="S20" s="79"/>
      <c r="T20" s="97"/>
    </row>
    <row r="21" spans="1:20" ht="11.25" customHeight="1" x14ac:dyDescent="0.2">
      <c r="A21" s="69"/>
      <c r="B21" s="92"/>
      <c r="C21" s="71"/>
      <c r="D21" s="71"/>
      <c r="E21" s="71"/>
      <c r="F21" s="84"/>
      <c r="G21" s="84"/>
      <c r="H21" s="79"/>
      <c r="I21" s="71"/>
      <c r="J21" s="71"/>
      <c r="K21" s="98"/>
      <c r="L21" s="93"/>
      <c r="M21" s="94"/>
      <c r="N21" s="95"/>
      <c r="O21" s="96"/>
      <c r="P21" s="96"/>
      <c r="Q21" s="96"/>
      <c r="R21" s="96"/>
      <c r="S21" s="79"/>
      <c r="T21" s="97"/>
    </row>
    <row r="22" spans="1:20" ht="11.25" customHeight="1" x14ac:dyDescent="0.2">
      <c r="A22" s="85"/>
      <c r="B22" s="541" t="s">
        <v>97</v>
      </c>
      <c r="C22" s="459"/>
      <c r="D22" s="459"/>
      <c r="E22" s="459"/>
      <c r="F22" s="459"/>
      <c r="G22" s="459"/>
      <c r="H22" s="459"/>
      <c r="I22" s="459"/>
      <c r="J22" s="459"/>
      <c r="K22" s="459"/>
      <c r="L22" s="459"/>
      <c r="M22" s="459"/>
      <c r="N22" s="460"/>
      <c r="O22" s="86">
        <v>0.25</v>
      </c>
      <c r="P22" s="86">
        <v>0.56000000000000005</v>
      </c>
      <c r="Q22" s="86">
        <v>0.99</v>
      </c>
      <c r="R22" s="86">
        <v>1.55</v>
      </c>
      <c r="S22" s="86">
        <v>2.2400000000000002</v>
      </c>
      <c r="T22" s="87">
        <v>3.97</v>
      </c>
    </row>
    <row r="23" spans="1:20" ht="11.25" customHeight="1" x14ac:dyDescent="0.2">
      <c r="A23" s="85"/>
      <c r="B23" s="533" t="s">
        <v>98</v>
      </c>
      <c r="C23" s="459"/>
      <c r="D23" s="459"/>
      <c r="E23" s="459"/>
      <c r="F23" s="459"/>
      <c r="G23" s="459"/>
      <c r="H23" s="459"/>
      <c r="I23" s="459"/>
      <c r="J23" s="459"/>
      <c r="K23" s="459"/>
      <c r="L23" s="459"/>
      <c r="M23" s="459"/>
      <c r="N23" s="460"/>
      <c r="O23" s="88">
        <v>52.92</v>
      </c>
      <c r="P23" s="88">
        <v>54.4</v>
      </c>
      <c r="Q23" s="88">
        <v>0</v>
      </c>
      <c r="R23" s="88">
        <v>0</v>
      </c>
      <c r="S23" s="88">
        <v>0</v>
      </c>
      <c r="T23" s="89">
        <v>0</v>
      </c>
    </row>
    <row r="24" spans="1:20" ht="11.25" customHeight="1" x14ac:dyDescent="0.2">
      <c r="A24" s="85"/>
      <c r="B24" s="533" t="s">
        <v>99</v>
      </c>
      <c r="C24" s="459"/>
      <c r="D24" s="459"/>
      <c r="E24" s="459"/>
      <c r="F24" s="459"/>
      <c r="G24" s="459"/>
      <c r="H24" s="459"/>
      <c r="I24" s="459"/>
      <c r="J24" s="459"/>
      <c r="K24" s="459"/>
      <c r="L24" s="459"/>
      <c r="M24" s="459"/>
      <c r="N24" s="460"/>
      <c r="O24" s="88">
        <v>13.23</v>
      </c>
      <c r="P24" s="88">
        <v>30.46</v>
      </c>
      <c r="Q24" s="88">
        <v>0</v>
      </c>
      <c r="R24" s="88">
        <v>0</v>
      </c>
      <c r="S24" s="88">
        <v>0</v>
      </c>
      <c r="T24" s="89">
        <v>0</v>
      </c>
    </row>
    <row r="25" spans="1:20" ht="11.25" customHeight="1" x14ac:dyDescent="0.2">
      <c r="A25" s="85"/>
      <c r="B25" s="534" t="s">
        <v>100</v>
      </c>
      <c r="C25" s="459"/>
      <c r="D25" s="459"/>
      <c r="E25" s="459"/>
      <c r="F25" s="459"/>
      <c r="G25" s="459"/>
      <c r="H25" s="459"/>
      <c r="I25" s="459"/>
      <c r="J25" s="459"/>
      <c r="K25" s="459"/>
      <c r="L25" s="459"/>
      <c r="M25" s="459"/>
      <c r="N25" s="460"/>
      <c r="O25" s="88">
        <v>5.88</v>
      </c>
      <c r="P25" s="88">
        <v>6.05</v>
      </c>
      <c r="Q25" s="88">
        <v>0</v>
      </c>
      <c r="R25" s="88">
        <v>0</v>
      </c>
      <c r="S25" s="88">
        <v>0</v>
      </c>
      <c r="T25" s="89">
        <v>0</v>
      </c>
    </row>
    <row r="26" spans="1:20" ht="11.25" customHeight="1" x14ac:dyDescent="0.2">
      <c r="A26" s="91"/>
      <c r="B26" s="535" t="s">
        <v>101</v>
      </c>
      <c r="C26" s="536"/>
      <c r="D26" s="536"/>
      <c r="E26" s="536"/>
      <c r="F26" s="536"/>
      <c r="G26" s="536"/>
      <c r="H26" s="536"/>
      <c r="I26" s="536"/>
      <c r="J26" s="536"/>
      <c r="K26" s="536"/>
      <c r="L26" s="536"/>
      <c r="M26" s="536"/>
      <c r="N26" s="537"/>
      <c r="O26" s="538">
        <v>43.69</v>
      </c>
      <c r="P26" s="536"/>
      <c r="Q26" s="536"/>
      <c r="R26" s="536"/>
      <c r="S26" s="536"/>
      <c r="T26" s="539"/>
    </row>
    <row r="27" spans="1:20" ht="11.25" customHeight="1" x14ac:dyDescent="0.2">
      <c r="A27" s="57" t="s">
        <v>106</v>
      </c>
      <c r="B27" s="58" t="s">
        <v>95</v>
      </c>
      <c r="C27" s="59"/>
      <c r="D27" s="59"/>
      <c r="E27" s="59"/>
      <c r="F27" s="59"/>
      <c r="G27" s="59"/>
      <c r="H27" s="59"/>
      <c r="I27" s="59"/>
      <c r="J27" s="59"/>
      <c r="K27" s="60"/>
      <c r="L27" s="61"/>
      <c r="M27" s="62"/>
      <c r="N27" s="63"/>
      <c r="O27" s="64"/>
      <c r="P27" s="65"/>
      <c r="Q27" s="66"/>
      <c r="R27" s="67"/>
      <c r="S27" s="67"/>
      <c r="T27" s="68"/>
    </row>
    <row r="28" spans="1:20" ht="11.25" customHeight="1" x14ac:dyDescent="0.2">
      <c r="A28" s="69"/>
      <c r="B28" s="70"/>
      <c r="C28" s="71"/>
      <c r="D28" s="71"/>
      <c r="E28" s="71"/>
      <c r="F28" s="71"/>
      <c r="G28" s="71"/>
      <c r="H28" s="71"/>
      <c r="I28" s="71"/>
      <c r="J28" s="71"/>
      <c r="K28" s="60"/>
      <c r="L28" s="61"/>
      <c r="M28" s="72"/>
      <c r="N28" s="63"/>
      <c r="O28" s="73"/>
      <c r="P28" s="74"/>
      <c r="Q28" s="74"/>
      <c r="R28" s="74"/>
      <c r="S28" s="75"/>
      <c r="T28" s="76"/>
    </row>
    <row r="29" spans="1:20" ht="11.25" customHeight="1" x14ac:dyDescent="0.2">
      <c r="A29" s="69"/>
      <c r="B29" s="77" t="s">
        <v>107</v>
      </c>
      <c r="C29" s="78"/>
      <c r="D29" s="71"/>
      <c r="E29" s="71"/>
      <c r="F29" s="540"/>
      <c r="G29" s="439"/>
      <c r="H29" s="79"/>
      <c r="I29" s="71"/>
      <c r="J29" s="71"/>
      <c r="K29" s="80" t="s">
        <v>89</v>
      </c>
      <c r="L29" s="81">
        <v>3.3</v>
      </c>
      <c r="M29" s="82">
        <v>2</v>
      </c>
      <c r="N29" s="83">
        <v>1</v>
      </c>
      <c r="O29" s="73" t="s">
        <v>96</v>
      </c>
      <c r="P29" s="74">
        <v>6.6</v>
      </c>
      <c r="Q29" s="74" t="s">
        <v>96</v>
      </c>
      <c r="R29" s="74" t="s">
        <v>96</v>
      </c>
      <c r="S29" s="75" t="s">
        <v>96</v>
      </c>
      <c r="T29" s="76" t="s">
        <v>96</v>
      </c>
    </row>
    <row r="30" spans="1:20" ht="11.25" customHeight="1" x14ac:dyDescent="0.2">
      <c r="A30" s="69"/>
      <c r="B30" s="77" t="s">
        <v>104</v>
      </c>
      <c r="C30" s="78"/>
      <c r="D30" s="71"/>
      <c r="E30" s="71"/>
      <c r="F30" s="84"/>
      <c r="G30" s="84"/>
      <c r="H30" s="79"/>
      <c r="I30" s="71"/>
      <c r="J30" s="71"/>
      <c r="K30" s="80" t="s">
        <v>88</v>
      </c>
      <c r="L30" s="81">
        <v>0.2</v>
      </c>
      <c r="M30" s="82">
        <v>11</v>
      </c>
      <c r="N30" s="83">
        <v>1</v>
      </c>
      <c r="O30" s="74">
        <v>2.2000000000000002</v>
      </c>
      <c r="P30" s="74" t="s">
        <v>96</v>
      </c>
      <c r="Q30" s="74"/>
      <c r="R30" s="74"/>
      <c r="S30" s="75"/>
      <c r="T30" s="76"/>
    </row>
    <row r="31" spans="1:20" ht="11.25" customHeight="1" x14ac:dyDescent="0.2">
      <c r="A31" s="69"/>
      <c r="B31" s="77" t="s">
        <v>103</v>
      </c>
      <c r="C31" s="78"/>
      <c r="D31" s="71"/>
      <c r="E31" s="71"/>
      <c r="F31" s="540"/>
      <c r="G31" s="439"/>
      <c r="H31" s="79"/>
      <c r="I31" s="71"/>
      <c r="J31" s="71"/>
      <c r="K31" s="80" t="s">
        <v>89</v>
      </c>
      <c r="L31" s="81">
        <v>2.2999999999999998</v>
      </c>
      <c r="M31" s="82">
        <v>2</v>
      </c>
      <c r="N31" s="83">
        <v>1</v>
      </c>
      <c r="O31" s="74" t="s">
        <v>96</v>
      </c>
      <c r="P31" s="74">
        <v>4.5999999999999996</v>
      </c>
      <c r="Q31" s="74" t="s">
        <v>96</v>
      </c>
      <c r="R31" s="74" t="s">
        <v>96</v>
      </c>
      <c r="S31" s="75" t="s">
        <v>96</v>
      </c>
      <c r="T31" s="76" t="s">
        <v>96</v>
      </c>
    </row>
    <row r="32" spans="1:20" ht="11.25" customHeight="1" x14ac:dyDescent="0.2">
      <c r="A32" s="69"/>
      <c r="B32" s="92" t="s">
        <v>104</v>
      </c>
      <c r="C32" s="71"/>
      <c r="D32" s="71"/>
      <c r="E32" s="71"/>
      <c r="F32" s="84"/>
      <c r="G32" s="84"/>
      <c r="H32" s="79"/>
      <c r="I32" s="71"/>
      <c r="J32" s="71"/>
      <c r="K32" s="80" t="s">
        <v>88</v>
      </c>
      <c r="L32" s="93">
        <v>0.2</v>
      </c>
      <c r="M32" s="94">
        <v>16</v>
      </c>
      <c r="N32" s="95">
        <v>1</v>
      </c>
      <c r="O32" s="74">
        <v>3.2</v>
      </c>
      <c r="P32" s="96"/>
      <c r="Q32" s="96"/>
      <c r="R32" s="96"/>
      <c r="S32" s="79"/>
      <c r="T32" s="97"/>
    </row>
    <row r="33" spans="1:20" ht="11.25" customHeight="1" x14ac:dyDescent="0.2">
      <c r="A33" s="69"/>
      <c r="B33" s="77" t="s">
        <v>108</v>
      </c>
      <c r="C33" s="78"/>
      <c r="D33" s="71"/>
      <c r="E33" s="71"/>
      <c r="F33" s="540"/>
      <c r="G33" s="439"/>
      <c r="H33" s="79"/>
      <c r="I33" s="71"/>
      <c r="J33" s="71"/>
      <c r="K33" s="80" t="s">
        <v>89</v>
      </c>
      <c r="L33" s="81">
        <v>3.3</v>
      </c>
      <c r="M33" s="82">
        <v>2</v>
      </c>
      <c r="N33" s="83">
        <v>1</v>
      </c>
      <c r="O33" s="73" t="s">
        <v>96</v>
      </c>
      <c r="P33" s="74">
        <v>6.6</v>
      </c>
      <c r="Q33" s="96"/>
      <c r="R33" s="96"/>
      <c r="S33" s="79"/>
      <c r="T33" s="97"/>
    </row>
    <row r="34" spans="1:20" ht="11.25" customHeight="1" x14ac:dyDescent="0.2">
      <c r="A34" s="69"/>
      <c r="B34" s="77" t="s">
        <v>104</v>
      </c>
      <c r="C34" s="78"/>
      <c r="D34" s="71"/>
      <c r="E34" s="71"/>
      <c r="F34" s="84"/>
      <c r="G34" s="84"/>
      <c r="H34" s="79"/>
      <c r="I34" s="71"/>
      <c r="J34" s="71"/>
      <c r="K34" s="80" t="s">
        <v>88</v>
      </c>
      <c r="L34" s="81">
        <v>0.2</v>
      </c>
      <c r="M34" s="82">
        <v>16</v>
      </c>
      <c r="N34" s="83">
        <v>1</v>
      </c>
      <c r="O34" s="74">
        <v>3.2</v>
      </c>
      <c r="P34" s="74" t="s">
        <v>96</v>
      </c>
      <c r="Q34" s="96"/>
      <c r="R34" s="96"/>
      <c r="S34" s="79"/>
      <c r="T34" s="97"/>
    </row>
    <row r="35" spans="1:20" ht="11.25" customHeight="1" x14ac:dyDescent="0.2">
      <c r="A35" s="69"/>
      <c r="B35" s="77" t="s">
        <v>105</v>
      </c>
      <c r="C35" s="78"/>
      <c r="D35" s="71"/>
      <c r="E35" s="71"/>
      <c r="F35" s="540"/>
      <c r="G35" s="439"/>
      <c r="H35" s="79"/>
      <c r="I35" s="71"/>
      <c r="J35" s="71"/>
      <c r="K35" s="80" t="s">
        <v>89</v>
      </c>
      <c r="L35" s="81">
        <v>2.2999999999999998</v>
      </c>
      <c r="M35" s="82">
        <v>2</v>
      </c>
      <c r="N35" s="83">
        <v>1</v>
      </c>
      <c r="O35" s="74" t="s">
        <v>96</v>
      </c>
      <c r="P35" s="74">
        <v>4.5999999999999996</v>
      </c>
      <c r="Q35" s="96"/>
      <c r="R35" s="96"/>
      <c r="S35" s="79"/>
      <c r="T35" s="97"/>
    </row>
    <row r="36" spans="1:20" ht="11.25" customHeight="1" x14ac:dyDescent="0.2">
      <c r="A36" s="69"/>
      <c r="B36" s="92" t="s">
        <v>104</v>
      </c>
      <c r="C36" s="71"/>
      <c r="D36" s="71"/>
      <c r="E36" s="71"/>
      <c r="F36" s="84"/>
      <c r="G36" s="84"/>
      <c r="H36" s="79"/>
      <c r="I36" s="71"/>
      <c r="J36" s="71"/>
      <c r="K36" s="80" t="s">
        <v>88</v>
      </c>
      <c r="L36" s="93">
        <v>0.2</v>
      </c>
      <c r="M36" s="94">
        <v>11</v>
      </c>
      <c r="N36" s="95">
        <v>1</v>
      </c>
      <c r="O36" s="74">
        <v>2.2000000000000002</v>
      </c>
      <c r="P36" s="96" t="s">
        <v>96</v>
      </c>
      <c r="Q36" s="96"/>
      <c r="R36" s="96"/>
      <c r="S36" s="79"/>
      <c r="T36" s="97"/>
    </row>
    <row r="37" spans="1:20" ht="11.25" customHeight="1" x14ac:dyDescent="0.2">
      <c r="A37" s="69"/>
      <c r="B37" s="92"/>
      <c r="C37" s="71"/>
      <c r="D37" s="71"/>
      <c r="E37" s="71"/>
      <c r="F37" s="84"/>
      <c r="G37" s="84"/>
      <c r="H37" s="79"/>
      <c r="I37" s="71"/>
      <c r="J37" s="71"/>
      <c r="K37" s="98"/>
      <c r="L37" s="93"/>
      <c r="M37" s="94"/>
      <c r="N37" s="95"/>
      <c r="O37" s="96"/>
      <c r="P37" s="96"/>
      <c r="Q37" s="96"/>
      <c r="R37" s="96"/>
      <c r="S37" s="79"/>
      <c r="T37" s="97"/>
    </row>
    <row r="38" spans="1:20" ht="11.25" customHeight="1" x14ac:dyDescent="0.2">
      <c r="A38" s="85"/>
      <c r="B38" s="541" t="s">
        <v>97</v>
      </c>
      <c r="C38" s="459"/>
      <c r="D38" s="459"/>
      <c r="E38" s="459"/>
      <c r="F38" s="459"/>
      <c r="G38" s="459"/>
      <c r="H38" s="459"/>
      <c r="I38" s="459"/>
      <c r="J38" s="459"/>
      <c r="K38" s="459"/>
      <c r="L38" s="459"/>
      <c r="M38" s="459"/>
      <c r="N38" s="460"/>
      <c r="O38" s="86">
        <v>0.25</v>
      </c>
      <c r="P38" s="86">
        <v>0.56000000000000005</v>
      </c>
      <c r="Q38" s="86">
        <v>0.99</v>
      </c>
      <c r="R38" s="86">
        <v>1.55</v>
      </c>
      <c r="S38" s="86">
        <v>2.2400000000000002</v>
      </c>
      <c r="T38" s="87">
        <v>3.97</v>
      </c>
    </row>
    <row r="39" spans="1:20" ht="11.25" customHeight="1" x14ac:dyDescent="0.2">
      <c r="A39" s="85"/>
      <c r="B39" s="533" t="s">
        <v>98</v>
      </c>
      <c r="C39" s="459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60"/>
      <c r="O39" s="88">
        <v>10.8</v>
      </c>
      <c r="P39" s="88">
        <v>22.4</v>
      </c>
      <c r="Q39" s="88">
        <v>0</v>
      </c>
      <c r="R39" s="88">
        <v>0</v>
      </c>
      <c r="S39" s="88">
        <v>0</v>
      </c>
      <c r="T39" s="89">
        <v>0</v>
      </c>
    </row>
    <row r="40" spans="1:20" ht="11.25" customHeight="1" x14ac:dyDescent="0.2">
      <c r="A40" s="85"/>
      <c r="B40" s="533" t="s">
        <v>99</v>
      </c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460"/>
      <c r="O40" s="88">
        <v>2.7</v>
      </c>
      <c r="P40" s="88">
        <v>12.54</v>
      </c>
      <c r="Q40" s="88">
        <v>0</v>
      </c>
      <c r="R40" s="88">
        <v>0</v>
      </c>
      <c r="S40" s="88">
        <v>0</v>
      </c>
      <c r="T40" s="89">
        <v>0</v>
      </c>
    </row>
    <row r="41" spans="1:20" ht="11.25" customHeight="1" x14ac:dyDescent="0.2">
      <c r="A41" s="85"/>
      <c r="B41" s="534" t="s">
        <v>100</v>
      </c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59"/>
      <c r="N41" s="460"/>
      <c r="O41" s="88">
        <v>1.2</v>
      </c>
      <c r="P41" s="88">
        <v>2.4900000000000002</v>
      </c>
      <c r="Q41" s="88">
        <v>0</v>
      </c>
      <c r="R41" s="88">
        <v>0</v>
      </c>
      <c r="S41" s="88">
        <v>0</v>
      </c>
      <c r="T41" s="89">
        <v>0</v>
      </c>
    </row>
    <row r="42" spans="1:20" ht="11.25" customHeight="1" x14ac:dyDescent="0.2">
      <c r="A42" s="91"/>
      <c r="B42" s="535" t="s">
        <v>101</v>
      </c>
      <c r="C42" s="536"/>
      <c r="D42" s="536"/>
      <c r="E42" s="536"/>
      <c r="F42" s="536"/>
      <c r="G42" s="536"/>
      <c r="H42" s="536"/>
      <c r="I42" s="536"/>
      <c r="J42" s="536"/>
      <c r="K42" s="536"/>
      <c r="L42" s="536"/>
      <c r="M42" s="536"/>
      <c r="N42" s="537"/>
      <c r="O42" s="538">
        <v>15.24</v>
      </c>
      <c r="P42" s="536"/>
      <c r="Q42" s="536"/>
      <c r="R42" s="536"/>
      <c r="S42" s="536"/>
      <c r="T42" s="539"/>
    </row>
    <row r="43" spans="1:20" ht="11.25" customHeight="1" x14ac:dyDescent="0.2">
      <c r="A43" s="99" t="s">
        <v>109</v>
      </c>
      <c r="B43" s="58" t="s">
        <v>95</v>
      </c>
      <c r="C43" s="59"/>
      <c r="D43" s="59"/>
      <c r="E43" s="59"/>
      <c r="F43" s="59"/>
      <c r="G43" s="59"/>
      <c r="H43" s="59"/>
      <c r="I43" s="59"/>
      <c r="J43" s="59"/>
      <c r="K43" s="60"/>
      <c r="L43" s="61"/>
      <c r="M43" s="62"/>
      <c r="N43" s="63"/>
      <c r="O43" s="100"/>
      <c r="P43" s="65" t="s">
        <v>96</v>
      </c>
      <c r="Q43" s="66"/>
      <c r="R43" s="67"/>
      <c r="S43" s="67"/>
      <c r="T43" s="68"/>
    </row>
    <row r="44" spans="1:20" ht="11.25" customHeight="1" x14ac:dyDescent="0.2">
      <c r="A44" s="69"/>
      <c r="B44" s="70"/>
      <c r="C44" s="71"/>
      <c r="D44" s="71"/>
      <c r="E44" s="71"/>
      <c r="F44" s="71"/>
      <c r="G44" s="71"/>
      <c r="H44" s="71"/>
      <c r="I44" s="71"/>
      <c r="J44" s="71"/>
      <c r="K44" s="60"/>
      <c r="L44" s="61"/>
      <c r="M44" s="72"/>
      <c r="N44" s="63"/>
      <c r="O44" s="73"/>
      <c r="P44" s="74"/>
      <c r="Q44" s="74"/>
      <c r="R44" s="74"/>
      <c r="S44" s="75"/>
      <c r="T44" s="76"/>
    </row>
    <row r="45" spans="1:20" ht="11.25" customHeight="1" x14ac:dyDescent="0.2">
      <c r="A45" s="69"/>
      <c r="B45" s="77" t="s">
        <v>59</v>
      </c>
      <c r="C45" s="78"/>
      <c r="D45" s="71"/>
      <c r="E45" s="71"/>
      <c r="F45" s="540"/>
      <c r="G45" s="439"/>
      <c r="H45" s="79"/>
      <c r="I45" s="71"/>
      <c r="J45" s="71"/>
      <c r="K45" s="80" t="s">
        <v>89</v>
      </c>
      <c r="L45" s="81">
        <v>2.4</v>
      </c>
      <c r="M45" s="82">
        <v>1</v>
      </c>
      <c r="N45" s="83">
        <v>7</v>
      </c>
      <c r="O45" s="73" t="s">
        <v>96</v>
      </c>
      <c r="P45" s="74">
        <v>16.8</v>
      </c>
      <c r="Q45" s="74" t="s">
        <v>96</v>
      </c>
      <c r="R45" s="74" t="s">
        <v>96</v>
      </c>
      <c r="S45" s="75" t="s">
        <v>96</v>
      </c>
      <c r="T45" s="76" t="s">
        <v>96</v>
      </c>
    </row>
    <row r="46" spans="1:20" ht="11.25" customHeight="1" x14ac:dyDescent="0.2">
      <c r="A46" s="69"/>
      <c r="B46" s="77" t="s">
        <v>61</v>
      </c>
      <c r="C46" s="78"/>
      <c r="D46" s="71"/>
      <c r="E46" s="71"/>
      <c r="F46" s="540"/>
      <c r="G46" s="439"/>
      <c r="H46" s="79"/>
      <c r="I46" s="71"/>
      <c r="J46" s="71"/>
      <c r="K46" s="80" t="s">
        <v>89</v>
      </c>
      <c r="L46" s="81">
        <v>1.9</v>
      </c>
      <c r="M46" s="82">
        <v>1</v>
      </c>
      <c r="N46" s="83">
        <v>9</v>
      </c>
      <c r="O46" s="73" t="s">
        <v>96</v>
      </c>
      <c r="P46" s="74">
        <v>17.100000000000001</v>
      </c>
      <c r="Q46" s="74" t="s">
        <v>96</v>
      </c>
      <c r="R46" s="74" t="s">
        <v>96</v>
      </c>
      <c r="S46" s="75" t="s">
        <v>96</v>
      </c>
      <c r="T46" s="76" t="s">
        <v>96</v>
      </c>
    </row>
    <row r="47" spans="1:20" ht="11.25" customHeight="1" x14ac:dyDescent="0.2">
      <c r="A47" s="85"/>
      <c r="B47" s="541" t="s">
        <v>97</v>
      </c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59"/>
      <c r="N47" s="460"/>
      <c r="O47" s="86">
        <v>0.25</v>
      </c>
      <c r="P47" s="86">
        <v>0.56000000000000005</v>
      </c>
      <c r="Q47" s="86">
        <v>0.99</v>
      </c>
      <c r="R47" s="86">
        <v>1.55</v>
      </c>
      <c r="S47" s="86">
        <v>2.2400000000000002</v>
      </c>
      <c r="T47" s="87">
        <v>3.97</v>
      </c>
    </row>
    <row r="48" spans="1:20" ht="11.25" customHeight="1" x14ac:dyDescent="0.2">
      <c r="A48" s="85"/>
      <c r="B48" s="533" t="s">
        <v>98</v>
      </c>
      <c r="C48" s="459"/>
      <c r="D48" s="459"/>
      <c r="E48" s="459"/>
      <c r="F48" s="459"/>
      <c r="G48" s="459"/>
      <c r="H48" s="459"/>
      <c r="I48" s="459"/>
      <c r="J48" s="459"/>
      <c r="K48" s="459"/>
      <c r="L48" s="459"/>
      <c r="M48" s="459"/>
      <c r="N48" s="460"/>
      <c r="O48" s="88">
        <v>0</v>
      </c>
      <c r="P48" s="88">
        <v>33.9</v>
      </c>
      <c r="Q48" s="88">
        <v>0</v>
      </c>
      <c r="R48" s="88">
        <v>0</v>
      </c>
      <c r="S48" s="88">
        <v>0</v>
      </c>
      <c r="T48" s="89">
        <v>0</v>
      </c>
    </row>
    <row r="49" spans="1:20" ht="11.25" customHeight="1" x14ac:dyDescent="0.2">
      <c r="A49" s="85"/>
      <c r="B49" s="533" t="s">
        <v>99</v>
      </c>
      <c r="C49" s="459"/>
      <c r="D49" s="459"/>
      <c r="E49" s="459"/>
      <c r="F49" s="459"/>
      <c r="G49" s="459"/>
      <c r="H49" s="459"/>
      <c r="I49" s="459"/>
      <c r="J49" s="459"/>
      <c r="K49" s="459"/>
      <c r="L49" s="459"/>
      <c r="M49" s="459"/>
      <c r="N49" s="460"/>
      <c r="O49" s="88">
        <v>0</v>
      </c>
      <c r="P49" s="88">
        <v>18.98</v>
      </c>
      <c r="Q49" s="88">
        <v>0</v>
      </c>
      <c r="R49" s="88">
        <v>0</v>
      </c>
      <c r="S49" s="88">
        <v>0</v>
      </c>
      <c r="T49" s="89">
        <v>0</v>
      </c>
    </row>
    <row r="50" spans="1:20" ht="11.25" customHeight="1" x14ac:dyDescent="0.2">
      <c r="A50" s="85"/>
      <c r="B50" s="534" t="s">
        <v>100</v>
      </c>
      <c r="C50" s="459"/>
      <c r="D50" s="459"/>
      <c r="E50" s="459"/>
      <c r="F50" s="459"/>
      <c r="G50" s="459"/>
      <c r="H50" s="459"/>
      <c r="I50" s="459"/>
      <c r="J50" s="459"/>
      <c r="K50" s="459"/>
      <c r="L50" s="459"/>
      <c r="M50" s="459"/>
      <c r="N50" s="460"/>
      <c r="O50" s="88">
        <v>0</v>
      </c>
      <c r="P50" s="88">
        <v>3.77</v>
      </c>
      <c r="Q50" s="88">
        <v>0</v>
      </c>
      <c r="R50" s="88">
        <v>0</v>
      </c>
      <c r="S50" s="88">
        <v>0</v>
      </c>
      <c r="T50" s="89">
        <v>0</v>
      </c>
    </row>
    <row r="51" spans="1:20" ht="11.25" customHeight="1" x14ac:dyDescent="0.2">
      <c r="A51" s="91"/>
      <c r="B51" s="535" t="s">
        <v>101</v>
      </c>
      <c r="C51" s="536"/>
      <c r="D51" s="536"/>
      <c r="E51" s="536"/>
      <c r="F51" s="536"/>
      <c r="G51" s="536"/>
      <c r="H51" s="536"/>
      <c r="I51" s="536"/>
      <c r="J51" s="536"/>
      <c r="K51" s="536"/>
      <c r="L51" s="536"/>
      <c r="M51" s="536"/>
      <c r="N51" s="537"/>
      <c r="O51" s="538">
        <v>18.98</v>
      </c>
      <c r="P51" s="536"/>
      <c r="Q51" s="536"/>
      <c r="R51" s="536"/>
      <c r="S51" s="536"/>
      <c r="T51" s="539"/>
    </row>
    <row r="52" spans="1:20" ht="11.25" customHeight="1" x14ac:dyDescent="0.2">
      <c r="A52" s="99" t="s">
        <v>110</v>
      </c>
      <c r="B52" s="58" t="s">
        <v>95</v>
      </c>
      <c r="C52" s="59"/>
      <c r="D52" s="59"/>
      <c r="E52" s="59"/>
      <c r="F52" s="59"/>
      <c r="G52" s="59"/>
      <c r="H52" s="59"/>
      <c r="I52" s="59"/>
      <c r="J52" s="59"/>
      <c r="K52" s="60"/>
      <c r="L52" s="61"/>
      <c r="M52" s="62"/>
      <c r="N52" s="63"/>
      <c r="O52" s="100"/>
      <c r="P52" s="65" t="s">
        <v>96</v>
      </c>
      <c r="Q52" s="66"/>
      <c r="R52" s="67"/>
      <c r="S52" s="67"/>
      <c r="T52" s="68"/>
    </row>
    <row r="53" spans="1:20" ht="11.25" customHeight="1" x14ac:dyDescent="0.2">
      <c r="A53" s="69"/>
      <c r="B53" s="70"/>
      <c r="C53" s="71"/>
      <c r="D53" s="71"/>
      <c r="E53" s="71"/>
      <c r="F53" s="71"/>
      <c r="G53" s="71"/>
      <c r="H53" s="71"/>
      <c r="I53" s="71"/>
      <c r="J53" s="71"/>
      <c r="K53" s="60"/>
      <c r="L53" s="61"/>
      <c r="M53" s="72"/>
      <c r="N53" s="63"/>
      <c r="O53" s="73"/>
      <c r="P53" s="74"/>
      <c r="Q53" s="74"/>
      <c r="R53" s="74"/>
      <c r="S53" s="75"/>
      <c r="T53" s="76"/>
    </row>
    <row r="54" spans="1:20" ht="11.25" customHeight="1" x14ac:dyDescent="0.2">
      <c r="A54" s="69"/>
      <c r="B54" s="77" t="s">
        <v>59</v>
      </c>
      <c r="C54" s="78"/>
      <c r="D54" s="71"/>
      <c r="E54" s="71"/>
      <c r="F54" s="540"/>
      <c r="G54" s="439"/>
      <c r="H54" s="79"/>
      <c r="I54" s="71"/>
      <c r="J54" s="71"/>
      <c r="K54" s="80" t="s">
        <v>89</v>
      </c>
      <c r="L54" s="81">
        <v>1.1200000000000001</v>
      </c>
      <c r="M54" s="82">
        <v>2</v>
      </c>
      <c r="N54" s="83">
        <v>8</v>
      </c>
      <c r="O54" s="73" t="s">
        <v>96</v>
      </c>
      <c r="P54" s="74">
        <v>17.920000000000002</v>
      </c>
      <c r="Q54" s="74" t="s">
        <v>96</v>
      </c>
      <c r="R54" s="74" t="s">
        <v>96</v>
      </c>
      <c r="S54" s="75" t="s">
        <v>96</v>
      </c>
      <c r="T54" s="76" t="s">
        <v>96</v>
      </c>
    </row>
    <row r="55" spans="1:20" ht="11.25" customHeight="1" x14ac:dyDescent="0.2">
      <c r="A55" s="69"/>
      <c r="B55" s="77" t="s">
        <v>61</v>
      </c>
      <c r="C55" s="78"/>
      <c r="D55" s="71"/>
      <c r="E55" s="71"/>
      <c r="F55" s="540"/>
      <c r="G55" s="439"/>
      <c r="H55" s="79"/>
      <c r="I55" s="71"/>
      <c r="J55" s="71"/>
      <c r="K55" s="80" t="s">
        <v>89</v>
      </c>
      <c r="L55" s="81">
        <v>1.7</v>
      </c>
      <c r="M55" s="82">
        <v>2</v>
      </c>
      <c r="N55" s="83">
        <v>4</v>
      </c>
      <c r="O55" s="73" t="s">
        <v>96</v>
      </c>
      <c r="P55" s="74">
        <v>13.6</v>
      </c>
      <c r="Q55" s="74" t="s">
        <v>96</v>
      </c>
      <c r="R55" s="74" t="s">
        <v>96</v>
      </c>
      <c r="S55" s="75" t="s">
        <v>96</v>
      </c>
      <c r="T55" s="76" t="s">
        <v>96</v>
      </c>
    </row>
    <row r="56" spans="1:20" ht="11.25" customHeight="1" x14ac:dyDescent="0.2">
      <c r="A56" s="85"/>
      <c r="B56" s="541" t="s">
        <v>97</v>
      </c>
      <c r="C56" s="459"/>
      <c r="D56" s="459"/>
      <c r="E56" s="459"/>
      <c r="F56" s="459"/>
      <c r="G56" s="459"/>
      <c r="H56" s="459"/>
      <c r="I56" s="459"/>
      <c r="J56" s="459"/>
      <c r="K56" s="459"/>
      <c r="L56" s="459"/>
      <c r="M56" s="459"/>
      <c r="N56" s="460"/>
      <c r="O56" s="86">
        <v>0.25</v>
      </c>
      <c r="P56" s="86">
        <v>0.56000000000000005</v>
      </c>
      <c r="Q56" s="86">
        <v>0.99</v>
      </c>
      <c r="R56" s="86">
        <v>1.55</v>
      </c>
      <c r="S56" s="86">
        <v>2.2400000000000002</v>
      </c>
      <c r="T56" s="87">
        <v>3.97</v>
      </c>
    </row>
    <row r="57" spans="1:20" ht="11.25" customHeight="1" x14ac:dyDescent="0.2">
      <c r="A57" s="85"/>
      <c r="B57" s="533" t="s">
        <v>98</v>
      </c>
      <c r="C57" s="459"/>
      <c r="D57" s="459"/>
      <c r="E57" s="459"/>
      <c r="F57" s="459"/>
      <c r="G57" s="459"/>
      <c r="H57" s="459"/>
      <c r="I57" s="459"/>
      <c r="J57" s="459"/>
      <c r="K57" s="459"/>
      <c r="L57" s="459"/>
      <c r="M57" s="459"/>
      <c r="N57" s="460"/>
      <c r="O57" s="88">
        <v>0</v>
      </c>
      <c r="P57" s="88">
        <v>31.52</v>
      </c>
      <c r="Q57" s="88">
        <v>0</v>
      </c>
      <c r="R57" s="88">
        <v>0</v>
      </c>
      <c r="S57" s="88">
        <v>0</v>
      </c>
      <c r="T57" s="89">
        <v>0</v>
      </c>
    </row>
    <row r="58" spans="1:20" ht="11.25" customHeight="1" x14ac:dyDescent="0.2">
      <c r="A58" s="85"/>
      <c r="B58" s="533" t="s">
        <v>99</v>
      </c>
      <c r="C58" s="459"/>
      <c r="D58" s="459"/>
      <c r="E58" s="459"/>
      <c r="F58" s="459"/>
      <c r="G58" s="459"/>
      <c r="H58" s="459"/>
      <c r="I58" s="459"/>
      <c r="J58" s="459"/>
      <c r="K58" s="459"/>
      <c r="L58" s="459"/>
      <c r="M58" s="459"/>
      <c r="N58" s="460"/>
      <c r="O58" s="88">
        <v>0</v>
      </c>
      <c r="P58" s="88">
        <v>17.649999999999999</v>
      </c>
      <c r="Q58" s="88">
        <v>0</v>
      </c>
      <c r="R58" s="88">
        <v>0</v>
      </c>
      <c r="S58" s="88">
        <v>0</v>
      </c>
      <c r="T58" s="89">
        <v>0</v>
      </c>
    </row>
    <row r="59" spans="1:20" ht="11.25" customHeight="1" x14ac:dyDescent="0.2">
      <c r="A59" s="85"/>
      <c r="B59" s="534" t="s">
        <v>100</v>
      </c>
      <c r="C59" s="459"/>
      <c r="D59" s="459"/>
      <c r="E59" s="459"/>
      <c r="F59" s="459"/>
      <c r="G59" s="459"/>
      <c r="H59" s="459"/>
      <c r="I59" s="459"/>
      <c r="J59" s="459"/>
      <c r="K59" s="459"/>
      <c r="L59" s="459"/>
      <c r="M59" s="459"/>
      <c r="N59" s="460"/>
      <c r="O59" s="88">
        <v>0</v>
      </c>
      <c r="P59" s="88">
        <v>3.51</v>
      </c>
      <c r="Q59" s="88">
        <v>0</v>
      </c>
      <c r="R59" s="88">
        <v>0</v>
      </c>
      <c r="S59" s="88">
        <v>0</v>
      </c>
      <c r="T59" s="89">
        <v>0</v>
      </c>
    </row>
    <row r="60" spans="1:20" ht="11.25" customHeight="1" x14ac:dyDescent="0.2">
      <c r="A60" s="91"/>
      <c r="B60" s="535" t="s">
        <v>101</v>
      </c>
      <c r="C60" s="536"/>
      <c r="D60" s="536"/>
      <c r="E60" s="536"/>
      <c r="F60" s="536"/>
      <c r="G60" s="536"/>
      <c r="H60" s="536"/>
      <c r="I60" s="536"/>
      <c r="J60" s="536"/>
      <c r="K60" s="536"/>
      <c r="L60" s="536"/>
      <c r="M60" s="536"/>
      <c r="N60" s="537"/>
      <c r="O60" s="538">
        <v>17.649999999999999</v>
      </c>
      <c r="P60" s="536"/>
      <c r="Q60" s="536"/>
      <c r="R60" s="536"/>
      <c r="S60" s="536"/>
      <c r="T60" s="539"/>
    </row>
    <row r="61" spans="1:20" ht="11.25" customHeight="1" x14ac:dyDescent="0.2">
      <c r="A61" s="57" t="s">
        <v>111</v>
      </c>
      <c r="B61" s="58" t="s">
        <v>95</v>
      </c>
      <c r="C61" s="59"/>
      <c r="D61" s="59"/>
      <c r="E61" s="59"/>
      <c r="F61" s="59"/>
      <c r="G61" s="59"/>
      <c r="H61" s="59"/>
      <c r="I61" s="59"/>
      <c r="J61" s="59"/>
      <c r="K61" s="60"/>
      <c r="L61" s="61"/>
      <c r="M61" s="62"/>
      <c r="N61" s="63"/>
      <c r="O61" s="64"/>
      <c r="P61" s="65"/>
      <c r="Q61" s="66"/>
      <c r="R61" s="67"/>
      <c r="S61" s="67"/>
      <c r="T61" s="68"/>
    </row>
    <row r="62" spans="1:20" ht="11.25" customHeight="1" x14ac:dyDescent="0.2">
      <c r="A62" s="69"/>
      <c r="B62" s="70"/>
      <c r="C62" s="71"/>
      <c r="D62" s="71"/>
      <c r="E62" s="71"/>
      <c r="F62" s="71"/>
      <c r="G62" s="71"/>
      <c r="H62" s="71"/>
      <c r="I62" s="71"/>
      <c r="J62" s="71"/>
      <c r="K62" s="60"/>
      <c r="L62" s="61"/>
      <c r="M62" s="72"/>
      <c r="N62" s="63"/>
      <c r="O62" s="73"/>
      <c r="P62" s="74"/>
      <c r="Q62" s="74"/>
      <c r="R62" s="74"/>
      <c r="S62" s="75"/>
      <c r="T62" s="76"/>
    </row>
    <row r="63" spans="1:20" ht="11.25" customHeight="1" x14ac:dyDescent="0.2">
      <c r="A63" s="69"/>
      <c r="B63" s="77" t="s">
        <v>61</v>
      </c>
      <c r="C63" s="78"/>
      <c r="D63" s="71"/>
      <c r="E63" s="71"/>
      <c r="F63" s="540"/>
      <c r="G63" s="439"/>
      <c r="H63" s="79"/>
      <c r="I63" s="71"/>
      <c r="J63" s="71"/>
      <c r="K63" s="80" t="s">
        <v>89</v>
      </c>
      <c r="L63" s="81">
        <v>0.65</v>
      </c>
      <c r="M63" s="82">
        <v>7</v>
      </c>
      <c r="N63" s="83">
        <v>1</v>
      </c>
      <c r="O63" s="73" t="s">
        <v>96</v>
      </c>
      <c r="P63" s="74">
        <v>4.55</v>
      </c>
      <c r="Q63" s="74" t="s">
        <v>96</v>
      </c>
      <c r="R63" s="74" t="s">
        <v>96</v>
      </c>
      <c r="S63" s="75" t="s">
        <v>96</v>
      </c>
      <c r="T63" s="76" t="s">
        <v>96</v>
      </c>
    </row>
    <row r="64" spans="1:20" ht="11.25" customHeight="1" x14ac:dyDescent="0.2">
      <c r="A64" s="69"/>
      <c r="B64" s="77" t="s">
        <v>59</v>
      </c>
      <c r="C64" s="78"/>
      <c r="D64" s="71"/>
      <c r="E64" s="71"/>
      <c r="F64" s="84"/>
      <c r="G64" s="84"/>
      <c r="H64" s="79"/>
      <c r="I64" s="71"/>
      <c r="J64" s="71"/>
      <c r="K64" s="80" t="s">
        <v>89</v>
      </c>
      <c r="L64" s="81">
        <v>2</v>
      </c>
      <c r="M64" s="82">
        <v>3</v>
      </c>
      <c r="N64" s="83">
        <v>1</v>
      </c>
      <c r="O64" s="73"/>
      <c r="P64" s="74">
        <v>6</v>
      </c>
      <c r="Q64" s="74"/>
      <c r="R64" s="74"/>
      <c r="S64" s="75"/>
      <c r="T64" s="76"/>
    </row>
    <row r="65" spans="1:20" ht="11.25" customHeight="1" x14ac:dyDescent="0.2">
      <c r="A65" s="69"/>
      <c r="B65" s="77" t="s">
        <v>112</v>
      </c>
      <c r="C65" s="78"/>
      <c r="D65" s="71"/>
      <c r="E65" s="71"/>
      <c r="F65" s="540"/>
      <c r="G65" s="439"/>
      <c r="H65" s="79"/>
      <c r="I65" s="71"/>
      <c r="J65" s="71"/>
      <c r="K65" s="80" t="s">
        <v>89</v>
      </c>
      <c r="L65" s="81">
        <v>0.95</v>
      </c>
      <c r="M65" s="82">
        <v>3</v>
      </c>
      <c r="N65" s="83">
        <v>1</v>
      </c>
      <c r="O65" s="73" t="s">
        <v>96</v>
      </c>
      <c r="P65" s="74">
        <v>2.85</v>
      </c>
      <c r="Q65" s="74" t="s">
        <v>96</v>
      </c>
      <c r="R65" s="74" t="s">
        <v>96</v>
      </c>
      <c r="S65" s="75" t="s">
        <v>96</v>
      </c>
      <c r="T65" s="76" t="s">
        <v>96</v>
      </c>
    </row>
    <row r="66" spans="1:20" ht="11.25" customHeight="1" x14ac:dyDescent="0.2">
      <c r="A66" s="85"/>
      <c r="B66" s="541" t="s">
        <v>97</v>
      </c>
      <c r="C66" s="459"/>
      <c r="D66" s="459"/>
      <c r="E66" s="459"/>
      <c r="F66" s="459"/>
      <c r="G66" s="459"/>
      <c r="H66" s="459"/>
      <c r="I66" s="459"/>
      <c r="J66" s="459"/>
      <c r="K66" s="459"/>
      <c r="L66" s="459"/>
      <c r="M66" s="459"/>
      <c r="N66" s="460"/>
      <c r="O66" s="86">
        <v>0.25</v>
      </c>
      <c r="P66" s="86">
        <v>0.56000000000000005</v>
      </c>
      <c r="Q66" s="86">
        <v>0.99</v>
      </c>
      <c r="R66" s="86">
        <v>1.55</v>
      </c>
      <c r="S66" s="86">
        <v>2.2400000000000002</v>
      </c>
      <c r="T66" s="87">
        <v>3.97</v>
      </c>
    </row>
    <row r="67" spans="1:20" ht="11.25" customHeight="1" x14ac:dyDescent="0.2">
      <c r="A67" s="85"/>
      <c r="B67" s="533" t="s">
        <v>98</v>
      </c>
      <c r="C67" s="459"/>
      <c r="D67" s="459"/>
      <c r="E67" s="459"/>
      <c r="F67" s="459"/>
      <c r="G67" s="459"/>
      <c r="H67" s="459"/>
      <c r="I67" s="459"/>
      <c r="J67" s="459"/>
      <c r="K67" s="459"/>
      <c r="L67" s="459"/>
      <c r="M67" s="459"/>
      <c r="N67" s="460"/>
      <c r="O67" s="88">
        <v>0</v>
      </c>
      <c r="P67" s="88">
        <v>13.4</v>
      </c>
      <c r="Q67" s="88">
        <v>0</v>
      </c>
      <c r="R67" s="88">
        <v>0</v>
      </c>
      <c r="S67" s="88">
        <v>0</v>
      </c>
      <c r="T67" s="89">
        <v>0</v>
      </c>
    </row>
    <row r="68" spans="1:20" ht="11.25" customHeight="1" x14ac:dyDescent="0.2">
      <c r="A68" s="85"/>
      <c r="B68" s="533" t="s">
        <v>99</v>
      </c>
      <c r="C68" s="459"/>
      <c r="D68" s="459"/>
      <c r="E68" s="459"/>
      <c r="F68" s="459"/>
      <c r="G68" s="459"/>
      <c r="H68" s="459"/>
      <c r="I68" s="459"/>
      <c r="J68" s="459"/>
      <c r="K68" s="459"/>
      <c r="L68" s="459"/>
      <c r="M68" s="459"/>
      <c r="N68" s="460"/>
      <c r="O68" s="88">
        <v>0</v>
      </c>
      <c r="P68" s="88">
        <v>7.5</v>
      </c>
      <c r="Q68" s="88">
        <v>0</v>
      </c>
      <c r="R68" s="88">
        <v>0</v>
      </c>
      <c r="S68" s="88">
        <v>0</v>
      </c>
      <c r="T68" s="89">
        <v>0</v>
      </c>
    </row>
    <row r="69" spans="1:20" ht="11.25" customHeight="1" x14ac:dyDescent="0.2">
      <c r="A69" s="85"/>
      <c r="B69" s="534" t="s">
        <v>100</v>
      </c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460"/>
      <c r="O69" s="88">
        <v>0</v>
      </c>
      <c r="P69" s="88">
        <v>1.49</v>
      </c>
      <c r="Q69" s="88">
        <v>0</v>
      </c>
      <c r="R69" s="88">
        <v>0</v>
      </c>
      <c r="S69" s="88">
        <v>0</v>
      </c>
      <c r="T69" s="89">
        <v>0</v>
      </c>
    </row>
    <row r="70" spans="1:20" ht="11.25" customHeight="1" x14ac:dyDescent="0.2">
      <c r="A70" s="91"/>
      <c r="B70" s="535" t="s">
        <v>101</v>
      </c>
      <c r="C70" s="536"/>
      <c r="D70" s="536"/>
      <c r="E70" s="536"/>
      <c r="F70" s="536"/>
      <c r="G70" s="536"/>
      <c r="H70" s="536"/>
      <c r="I70" s="536"/>
      <c r="J70" s="536"/>
      <c r="K70" s="536"/>
      <c r="L70" s="536"/>
      <c r="M70" s="536"/>
      <c r="N70" s="537"/>
      <c r="O70" s="538">
        <v>7.5</v>
      </c>
      <c r="P70" s="536"/>
      <c r="Q70" s="536"/>
      <c r="R70" s="536"/>
      <c r="S70" s="536"/>
      <c r="T70" s="539"/>
    </row>
    <row r="71" spans="1:20" ht="11.25" customHeight="1" x14ac:dyDescent="0.2">
      <c r="A71" s="57" t="s">
        <v>113</v>
      </c>
      <c r="B71" s="101" t="s">
        <v>95</v>
      </c>
      <c r="C71" s="102"/>
      <c r="D71" s="102"/>
      <c r="E71" s="102"/>
      <c r="F71" s="102"/>
      <c r="G71" s="102"/>
      <c r="H71" s="102"/>
      <c r="I71" s="102"/>
      <c r="J71" s="102"/>
      <c r="K71" s="60"/>
      <c r="L71" s="61"/>
      <c r="M71" s="103"/>
      <c r="N71" s="63"/>
      <c r="O71" s="104"/>
      <c r="P71" s="105" t="s">
        <v>96</v>
      </c>
      <c r="Q71" s="106"/>
      <c r="R71" s="107"/>
      <c r="S71" s="107"/>
      <c r="T71" s="108"/>
    </row>
    <row r="72" spans="1:20" ht="11.25" customHeight="1" x14ac:dyDescent="0.2">
      <c r="A72" s="85"/>
      <c r="B72" s="62"/>
      <c r="C72" s="71"/>
      <c r="D72" s="71"/>
      <c r="E72" s="71"/>
      <c r="F72" s="71"/>
      <c r="G72" s="71"/>
      <c r="H72" s="71"/>
      <c r="I72" s="71"/>
      <c r="J72" s="71"/>
      <c r="K72" s="60"/>
      <c r="L72" s="61"/>
      <c r="M72" s="72"/>
      <c r="N72" s="63"/>
      <c r="O72" s="73"/>
      <c r="P72" s="74"/>
      <c r="Q72" s="74"/>
      <c r="R72" s="74"/>
      <c r="S72" s="75"/>
      <c r="T72" s="76"/>
    </row>
    <row r="73" spans="1:20" ht="11.25" customHeight="1" x14ac:dyDescent="0.2">
      <c r="A73" s="85"/>
      <c r="B73" s="109" t="s">
        <v>59</v>
      </c>
      <c r="C73" s="78"/>
      <c r="D73" s="71"/>
      <c r="E73" s="71"/>
      <c r="F73" s="540"/>
      <c r="G73" s="439"/>
      <c r="H73" s="79"/>
      <c r="I73" s="71"/>
      <c r="J73" s="71"/>
      <c r="K73" s="80" t="s">
        <v>88</v>
      </c>
      <c r="L73" s="81">
        <v>0.81</v>
      </c>
      <c r="M73" s="82">
        <v>7</v>
      </c>
      <c r="N73" s="83">
        <v>2</v>
      </c>
      <c r="O73" s="73">
        <v>11.34</v>
      </c>
      <c r="P73" s="74" t="s">
        <v>96</v>
      </c>
      <c r="Q73" s="74" t="s">
        <v>96</v>
      </c>
      <c r="R73" s="74" t="s">
        <v>96</v>
      </c>
      <c r="S73" s="75" t="s">
        <v>96</v>
      </c>
      <c r="T73" s="76" t="s">
        <v>96</v>
      </c>
    </row>
    <row r="74" spans="1:20" ht="11.25" customHeight="1" x14ac:dyDescent="0.2">
      <c r="A74" s="85"/>
      <c r="B74" s="109" t="s">
        <v>61</v>
      </c>
      <c r="C74" s="78"/>
      <c r="D74" s="71"/>
      <c r="E74" s="71"/>
      <c r="F74" s="540"/>
      <c r="G74" s="439"/>
      <c r="H74" s="79"/>
      <c r="I74" s="71"/>
      <c r="J74" s="71"/>
      <c r="K74" s="80" t="s">
        <v>88</v>
      </c>
      <c r="L74" s="81">
        <v>0.61</v>
      </c>
      <c r="M74" s="82">
        <v>8</v>
      </c>
      <c r="N74" s="83">
        <v>2</v>
      </c>
      <c r="O74" s="73">
        <v>9.76</v>
      </c>
      <c r="P74" s="74" t="s">
        <v>96</v>
      </c>
      <c r="Q74" s="74" t="s">
        <v>96</v>
      </c>
      <c r="R74" s="74" t="s">
        <v>96</v>
      </c>
      <c r="S74" s="75" t="s">
        <v>96</v>
      </c>
      <c r="T74" s="76" t="s">
        <v>96</v>
      </c>
    </row>
    <row r="75" spans="1:20" ht="11.25" customHeight="1" x14ac:dyDescent="0.2">
      <c r="A75" s="85"/>
      <c r="B75" s="533" t="s">
        <v>97</v>
      </c>
      <c r="C75" s="459"/>
      <c r="D75" s="459"/>
      <c r="E75" s="459"/>
      <c r="F75" s="459"/>
      <c r="G75" s="459"/>
      <c r="H75" s="459"/>
      <c r="I75" s="459"/>
      <c r="J75" s="459"/>
      <c r="K75" s="459"/>
      <c r="L75" s="459"/>
      <c r="M75" s="459"/>
      <c r="N75" s="460"/>
      <c r="O75" s="86">
        <v>0.25</v>
      </c>
      <c r="P75" s="86">
        <v>0.56000000000000005</v>
      </c>
      <c r="Q75" s="86">
        <v>0.99</v>
      </c>
      <c r="R75" s="86">
        <v>1.55</v>
      </c>
      <c r="S75" s="86">
        <v>2.2400000000000002</v>
      </c>
      <c r="T75" s="87">
        <v>3.97</v>
      </c>
    </row>
    <row r="76" spans="1:20" ht="11.25" customHeight="1" x14ac:dyDescent="0.2">
      <c r="A76" s="85"/>
      <c r="B76" s="533" t="s">
        <v>98</v>
      </c>
      <c r="C76" s="459"/>
      <c r="D76" s="459"/>
      <c r="E76" s="459"/>
      <c r="F76" s="459"/>
      <c r="G76" s="459"/>
      <c r="H76" s="459"/>
      <c r="I76" s="459"/>
      <c r="J76" s="459"/>
      <c r="K76" s="459"/>
      <c r="L76" s="459"/>
      <c r="M76" s="459"/>
      <c r="N76" s="460"/>
      <c r="O76" s="88">
        <v>21.1</v>
      </c>
      <c r="P76" s="88">
        <v>0</v>
      </c>
      <c r="Q76" s="88">
        <v>0</v>
      </c>
      <c r="R76" s="88">
        <v>0</v>
      </c>
      <c r="S76" s="88">
        <v>0</v>
      </c>
      <c r="T76" s="89">
        <v>0</v>
      </c>
    </row>
    <row r="77" spans="1:20" ht="11.25" customHeight="1" x14ac:dyDescent="0.2">
      <c r="A77" s="85"/>
      <c r="B77" s="533" t="s">
        <v>99</v>
      </c>
      <c r="C77" s="459"/>
      <c r="D77" s="459"/>
      <c r="E77" s="459"/>
      <c r="F77" s="459"/>
      <c r="G77" s="459"/>
      <c r="H77" s="459"/>
      <c r="I77" s="459"/>
      <c r="J77" s="459"/>
      <c r="K77" s="459"/>
      <c r="L77" s="459"/>
      <c r="M77" s="459"/>
      <c r="N77" s="460"/>
      <c r="O77" s="88">
        <v>5.28</v>
      </c>
      <c r="P77" s="88">
        <v>0</v>
      </c>
      <c r="Q77" s="88">
        <v>0</v>
      </c>
      <c r="R77" s="88">
        <v>0</v>
      </c>
      <c r="S77" s="88">
        <v>0</v>
      </c>
      <c r="T77" s="89">
        <v>0</v>
      </c>
    </row>
    <row r="78" spans="1:20" ht="11.25" customHeight="1" x14ac:dyDescent="0.2">
      <c r="A78" s="85"/>
      <c r="B78" s="534" t="s">
        <v>100</v>
      </c>
      <c r="C78" s="459"/>
      <c r="D78" s="459"/>
      <c r="E78" s="459"/>
      <c r="F78" s="459"/>
      <c r="G78" s="459"/>
      <c r="H78" s="459"/>
      <c r="I78" s="459"/>
      <c r="J78" s="459"/>
      <c r="K78" s="459"/>
      <c r="L78" s="459"/>
      <c r="M78" s="459"/>
      <c r="N78" s="460"/>
      <c r="O78" s="88">
        <v>2.35</v>
      </c>
      <c r="P78" s="88">
        <v>0</v>
      </c>
      <c r="Q78" s="88">
        <v>0</v>
      </c>
      <c r="R78" s="88">
        <v>0</v>
      </c>
      <c r="S78" s="88">
        <v>0</v>
      </c>
      <c r="T78" s="89">
        <v>0</v>
      </c>
    </row>
    <row r="79" spans="1:20" ht="11.25" customHeight="1" x14ac:dyDescent="0.2">
      <c r="A79" s="110"/>
      <c r="B79" s="535" t="s">
        <v>101</v>
      </c>
      <c r="C79" s="536"/>
      <c r="D79" s="536"/>
      <c r="E79" s="536"/>
      <c r="F79" s="536"/>
      <c r="G79" s="536"/>
      <c r="H79" s="536"/>
      <c r="I79" s="536"/>
      <c r="J79" s="536"/>
      <c r="K79" s="536"/>
      <c r="L79" s="536"/>
      <c r="M79" s="536"/>
      <c r="N79" s="537"/>
      <c r="O79" s="538">
        <v>5.28</v>
      </c>
      <c r="P79" s="536"/>
      <c r="Q79" s="536"/>
      <c r="R79" s="536"/>
      <c r="S79" s="536"/>
      <c r="T79" s="539"/>
    </row>
    <row r="80" spans="1:20" ht="11.25" customHeight="1" x14ac:dyDescent="0.2">
      <c r="A80" s="111" t="s">
        <v>114</v>
      </c>
      <c r="B80" s="58" t="s">
        <v>95</v>
      </c>
      <c r="C80" s="59"/>
      <c r="D80" s="59"/>
      <c r="E80" s="59"/>
      <c r="F80" s="59"/>
      <c r="G80" s="59"/>
      <c r="H80" s="59"/>
      <c r="I80" s="59"/>
      <c r="J80" s="59"/>
      <c r="K80" s="60"/>
      <c r="L80" s="61"/>
      <c r="M80" s="62"/>
      <c r="N80" s="63"/>
      <c r="O80" s="64"/>
      <c r="P80" s="65"/>
      <c r="Q80" s="66"/>
      <c r="R80" s="67"/>
      <c r="S80" s="67"/>
      <c r="T80" s="68"/>
    </row>
    <row r="81" spans="1:20" ht="11.25" customHeight="1" x14ac:dyDescent="0.2">
      <c r="A81" s="69"/>
      <c r="B81" s="70"/>
      <c r="C81" s="71"/>
      <c r="D81" s="71"/>
      <c r="E81" s="71"/>
      <c r="F81" s="71"/>
      <c r="G81" s="71"/>
      <c r="H81" s="71"/>
      <c r="I81" s="71"/>
      <c r="J81" s="71"/>
      <c r="K81" s="60"/>
      <c r="L81" s="61"/>
      <c r="M81" s="72"/>
      <c r="N81" s="63"/>
      <c r="O81" s="73"/>
      <c r="P81" s="74"/>
      <c r="Q81" s="74"/>
      <c r="R81" s="74"/>
      <c r="S81" s="75"/>
      <c r="T81" s="76"/>
    </row>
    <row r="82" spans="1:20" ht="11.25" customHeight="1" x14ac:dyDescent="0.2">
      <c r="A82" s="69"/>
      <c r="B82" s="77" t="s">
        <v>61</v>
      </c>
      <c r="C82" s="78"/>
      <c r="D82" s="71"/>
      <c r="E82" s="71"/>
      <c r="F82" s="540"/>
      <c r="G82" s="439"/>
      <c r="H82" s="79"/>
      <c r="I82" s="71"/>
      <c r="J82" s="71"/>
      <c r="K82" s="80" t="s">
        <v>88</v>
      </c>
      <c r="L82" s="81">
        <v>0.3</v>
      </c>
      <c r="M82" s="82">
        <v>6</v>
      </c>
      <c r="N82" s="83">
        <v>1</v>
      </c>
      <c r="O82" s="74">
        <f t="shared" ref="O82:O83" si="0">L82*M82</f>
        <v>1.7999999999999998</v>
      </c>
      <c r="P82" s="74"/>
      <c r="Q82" s="74" t="s">
        <v>96</v>
      </c>
      <c r="R82" s="74" t="s">
        <v>96</v>
      </c>
      <c r="S82" s="75" t="s">
        <v>96</v>
      </c>
      <c r="T82" s="76" t="s">
        <v>96</v>
      </c>
    </row>
    <row r="83" spans="1:20" ht="11.25" customHeight="1" x14ac:dyDescent="0.2">
      <c r="A83" s="69"/>
      <c r="B83" s="77" t="s">
        <v>59</v>
      </c>
      <c r="C83" s="78"/>
      <c r="D83" s="71"/>
      <c r="E83" s="71"/>
      <c r="F83" s="84"/>
      <c r="G83" s="84"/>
      <c r="H83" s="79"/>
      <c r="I83" s="71"/>
      <c r="J83" s="71"/>
      <c r="K83" s="80" t="s">
        <v>88</v>
      </c>
      <c r="L83" s="81">
        <v>0.6</v>
      </c>
      <c r="M83" s="82">
        <v>3</v>
      </c>
      <c r="N83" s="83">
        <v>1</v>
      </c>
      <c r="O83" s="74">
        <f t="shared" si="0"/>
        <v>1.7999999999999998</v>
      </c>
      <c r="P83" s="74"/>
      <c r="Q83" s="74"/>
      <c r="R83" s="74"/>
      <c r="S83" s="75"/>
      <c r="T83" s="76"/>
    </row>
    <row r="84" spans="1:20" ht="11.25" customHeight="1" x14ac:dyDescent="0.2">
      <c r="A84" s="85"/>
      <c r="B84" s="541" t="s">
        <v>97</v>
      </c>
      <c r="C84" s="459"/>
      <c r="D84" s="459"/>
      <c r="E84" s="459"/>
      <c r="F84" s="459"/>
      <c r="G84" s="459"/>
      <c r="H84" s="459"/>
      <c r="I84" s="459"/>
      <c r="J84" s="459"/>
      <c r="K84" s="459"/>
      <c r="L84" s="459"/>
      <c r="M84" s="459"/>
      <c r="N84" s="460"/>
      <c r="O84" s="86">
        <v>0.25</v>
      </c>
      <c r="P84" s="86">
        <v>0.56000000000000005</v>
      </c>
      <c r="Q84" s="86">
        <v>0.99</v>
      </c>
      <c r="R84" s="86">
        <v>1.55</v>
      </c>
      <c r="S84" s="86">
        <v>2.2400000000000002</v>
      </c>
      <c r="T84" s="87">
        <v>3.97</v>
      </c>
    </row>
    <row r="85" spans="1:20" ht="11.25" customHeight="1" x14ac:dyDescent="0.2">
      <c r="A85" s="85"/>
      <c r="B85" s="533" t="s">
        <v>98</v>
      </c>
      <c r="C85" s="459"/>
      <c r="D85" s="459"/>
      <c r="E85" s="459"/>
      <c r="F85" s="459"/>
      <c r="G85" s="459"/>
      <c r="H85" s="459"/>
      <c r="I85" s="459"/>
      <c r="J85" s="459"/>
      <c r="K85" s="459"/>
      <c r="L85" s="459"/>
      <c r="M85" s="459"/>
      <c r="N85" s="460"/>
      <c r="O85" s="88">
        <f>SUM(O82:O83)</f>
        <v>3.5999999999999996</v>
      </c>
      <c r="P85" s="88"/>
      <c r="Q85" s="88">
        <v>0</v>
      </c>
      <c r="R85" s="88">
        <v>0</v>
      </c>
      <c r="S85" s="88">
        <v>0</v>
      </c>
      <c r="T85" s="89">
        <v>0</v>
      </c>
    </row>
    <row r="86" spans="1:20" ht="11.25" customHeight="1" x14ac:dyDescent="0.2">
      <c r="A86" s="85"/>
      <c r="B86" s="533" t="s">
        <v>99</v>
      </c>
      <c r="C86" s="459"/>
      <c r="D86" s="459"/>
      <c r="E86" s="459"/>
      <c r="F86" s="459"/>
      <c r="G86" s="459"/>
      <c r="H86" s="459"/>
      <c r="I86" s="459"/>
      <c r="J86" s="459"/>
      <c r="K86" s="459"/>
      <c r="L86" s="459"/>
      <c r="M86" s="459"/>
      <c r="N86" s="460"/>
      <c r="O86" s="88">
        <f>O84*O85</f>
        <v>0.89999999999999991</v>
      </c>
      <c r="P86" s="88"/>
      <c r="Q86" s="88">
        <v>0</v>
      </c>
      <c r="R86" s="88">
        <v>0</v>
      </c>
      <c r="S86" s="88">
        <v>0</v>
      </c>
      <c r="T86" s="89">
        <v>0</v>
      </c>
    </row>
    <row r="87" spans="1:20" ht="11.25" customHeight="1" x14ac:dyDescent="0.2">
      <c r="A87" s="85"/>
      <c r="B87" s="534" t="s">
        <v>100</v>
      </c>
      <c r="C87" s="459"/>
      <c r="D87" s="459"/>
      <c r="E87" s="459"/>
      <c r="F87" s="459"/>
      <c r="G87" s="459"/>
      <c r="H87" s="459"/>
      <c r="I87" s="459"/>
      <c r="J87" s="459"/>
      <c r="K87" s="459"/>
      <c r="L87" s="459"/>
      <c r="M87" s="459"/>
      <c r="N87" s="460"/>
      <c r="O87" s="88">
        <v>0</v>
      </c>
      <c r="P87" s="88"/>
      <c r="Q87" s="88">
        <v>0</v>
      </c>
      <c r="R87" s="88">
        <v>0</v>
      </c>
      <c r="S87" s="88">
        <v>0</v>
      </c>
      <c r="T87" s="89">
        <v>0</v>
      </c>
    </row>
    <row r="88" spans="1:20" ht="11.25" customHeight="1" x14ac:dyDescent="0.2">
      <c r="A88" s="91"/>
      <c r="B88" s="535" t="s">
        <v>101</v>
      </c>
      <c r="C88" s="536"/>
      <c r="D88" s="536"/>
      <c r="E88" s="536"/>
      <c r="F88" s="536"/>
      <c r="G88" s="536"/>
      <c r="H88" s="536"/>
      <c r="I88" s="536"/>
      <c r="J88" s="536"/>
      <c r="K88" s="536"/>
      <c r="L88" s="536"/>
      <c r="M88" s="536"/>
      <c r="N88" s="537"/>
      <c r="O88" s="538">
        <f>O86</f>
        <v>0.89999999999999991</v>
      </c>
      <c r="P88" s="536"/>
      <c r="Q88" s="536"/>
      <c r="R88" s="536"/>
      <c r="S88" s="536"/>
      <c r="T88" s="539"/>
    </row>
    <row r="89" spans="1:20" ht="11.25" customHeight="1" x14ac:dyDescent="0.2">
      <c r="A89" s="111" t="s">
        <v>114</v>
      </c>
      <c r="B89" s="58" t="s">
        <v>95</v>
      </c>
      <c r="C89" s="59"/>
      <c r="D89" s="59"/>
      <c r="E89" s="59"/>
      <c r="F89" s="59"/>
      <c r="G89" s="59"/>
      <c r="H89" s="59"/>
      <c r="I89" s="59"/>
      <c r="J89" s="59"/>
      <c r="K89" s="60"/>
      <c r="L89" s="61"/>
      <c r="M89" s="62"/>
      <c r="N89" s="63"/>
      <c r="O89" s="64"/>
      <c r="P89" s="65"/>
      <c r="Q89" s="66"/>
      <c r="R89" s="67"/>
      <c r="S89" s="67"/>
      <c r="T89" s="68"/>
    </row>
    <row r="90" spans="1:20" ht="11.25" customHeight="1" x14ac:dyDescent="0.2">
      <c r="A90" s="69"/>
      <c r="B90" s="70"/>
      <c r="C90" s="71"/>
      <c r="D90" s="71"/>
      <c r="E90" s="71"/>
      <c r="F90" s="71"/>
      <c r="G90" s="71"/>
      <c r="H90" s="71"/>
      <c r="I90" s="71"/>
      <c r="J90" s="71"/>
      <c r="K90" s="60"/>
      <c r="L90" s="61"/>
      <c r="M90" s="72"/>
      <c r="N90" s="63"/>
      <c r="O90" s="73"/>
      <c r="P90" s="74"/>
      <c r="Q90" s="74"/>
      <c r="R90" s="74"/>
      <c r="S90" s="75"/>
      <c r="T90" s="76"/>
    </row>
    <row r="91" spans="1:20" ht="11.25" customHeight="1" x14ac:dyDescent="0.2">
      <c r="A91" s="69"/>
      <c r="B91" s="77" t="s">
        <v>61</v>
      </c>
      <c r="C91" s="78"/>
      <c r="D91" s="71"/>
      <c r="E91" s="71"/>
      <c r="F91" s="540"/>
      <c r="G91" s="439"/>
      <c r="H91" s="79"/>
      <c r="I91" s="71"/>
      <c r="J91" s="71"/>
      <c r="K91" s="80" t="s">
        <v>88</v>
      </c>
      <c r="L91" s="81">
        <v>0.4</v>
      </c>
      <c r="M91" s="82">
        <v>10</v>
      </c>
      <c r="N91" s="83">
        <v>1</v>
      </c>
      <c r="O91" s="74">
        <f t="shared" ref="O91:O92" si="1">L91*M91</f>
        <v>4</v>
      </c>
      <c r="P91" s="74"/>
      <c r="Q91" s="74" t="s">
        <v>96</v>
      </c>
      <c r="R91" s="74" t="s">
        <v>96</v>
      </c>
      <c r="S91" s="75" t="s">
        <v>96</v>
      </c>
      <c r="T91" s="76" t="s">
        <v>96</v>
      </c>
    </row>
    <row r="92" spans="1:20" ht="11.25" customHeight="1" x14ac:dyDescent="0.2">
      <c r="A92" s="69"/>
      <c r="B92" s="77" t="s">
        <v>59</v>
      </c>
      <c r="C92" s="78"/>
      <c r="D92" s="71"/>
      <c r="E92" s="71"/>
      <c r="F92" s="84"/>
      <c r="G92" s="84"/>
      <c r="H92" s="79"/>
      <c r="I92" s="71"/>
      <c r="J92" s="71"/>
      <c r="K92" s="80" t="s">
        <v>88</v>
      </c>
      <c r="L92" s="81">
        <v>1</v>
      </c>
      <c r="M92" s="82">
        <v>4</v>
      </c>
      <c r="N92" s="83">
        <v>1</v>
      </c>
      <c r="O92" s="74">
        <f t="shared" si="1"/>
        <v>4</v>
      </c>
      <c r="P92" s="74"/>
      <c r="Q92" s="74"/>
      <c r="R92" s="74"/>
      <c r="S92" s="75"/>
      <c r="T92" s="76"/>
    </row>
    <row r="93" spans="1:20" ht="11.25" customHeight="1" x14ac:dyDescent="0.2">
      <c r="A93" s="85"/>
      <c r="B93" s="541" t="s">
        <v>97</v>
      </c>
      <c r="C93" s="459"/>
      <c r="D93" s="459"/>
      <c r="E93" s="459"/>
      <c r="F93" s="459"/>
      <c r="G93" s="459"/>
      <c r="H93" s="459"/>
      <c r="I93" s="459"/>
      <c r="J93" s="459"/>
      <c r="K93" s="459"/>
      <c r="L93" s="459"/>
      <c r="M93" s="459"/>
      <c r="N93" s="460"/>
      <c r="O93" s="86">
        <v>0.25</v>
      </c>
      <c r="P93" s="86">
        <v>0.56000000000000005</v>
      </c>
      <c r="Q93" s="86">
        <v>0.99</v>
      </c>
      <c r="R93" s="86">
        <v>1.55</v>
      </c>
      <c r="S93" s="86">
        <v>2.2400000000000002</v>
      </c>
      <c r="T93" s="87">
        <v>3.97</v>
      </c>
    </row>
    <row r="94" spans="1:20" ht="11.25" customHeight="1" x14ac:dyDescent="0.2">
      <c r="A94" s="85"/>
      <c r="B94" s="533" t="s">
        <v>98</v>
      </c>
      <c r="C94" s="459"/>
      <c r="D94" s="459"/>
      <c r="E94" s="459"/>
      <c r="F94" s="459"/>
      <c r="G94" s="459"/>
      <c r="H94" s="459"/>
      <c r="I94" s="459"/>
      <c r="J94" s="459"/>
      <c r="K94" s="459"/>
      <c r="L94" s="459"/>
      <c r="M94" s="459"/>
      <c r="N94" s="460"/>
      <c r="O94" s="88">
        <f>SUM(O91:O92)</f>
        <v>8</v>
      </c>
      <c r="P94" s="88"/>
      <c r="Q94" s="88">
        <v>0</v>
      </c>
      <c r="R94" s="88">
        <v>0</v>
      </c>
      <c r="S94" s="88">
        <v>0</v>
      </c>
      <c r="T94" s="89">
        <v>0</v>
      </c>
    </row>
    <row r="95" spans="1:20" ht="11.25" customHeight="1" x14ac:dyDescent="0.2">
      <c r="A95" s="85"/>
      <c r="B95" s="533" t="s">
        <v>99</v>
      </c>
      <c r="C95" s="459"/>
      <c r="D95" s="459"/>
      <c r="E95" s="459"/>
      <c r="F95" s="459"/>
      <c r="G95" s="459"/>
      <c r="H95" s="459"/>
      <c r="I95" s="459"/>
      <c r="J95" s="459"/>
      <c r="K95" s="459"/>
      <c r="L95" s="459"/>
      <c r="M95" s="459"/>
      <c r="N95" s="460"/>
      <c r="O95" s="88">
        <f>O93*O94</f>
        <v>2</v>
      </c>
      <c r="P95" s="88"/>
      <c r="Q95" s="88">
        <v>0</v>
      </c>
      <c r="R95" s="88">
        <v>0</v>
      </c>
      <c r="S95" s="88">
        <v>0</v>
      </c>
      <c r="T95" s="89">
        <v>0</v>
      </c>
    </row>
    <row r="96" spans="1:20" ht="11.25" customHeight="1" x14ac:dyDescent="0.2">
      <c r="A96" s="85"/>
      <c r="B96" s="534" t="s">
        <v>100</v>
      </c>
      <c r="C96" s="459"/>
      <c r="D96" s="459"/>
      <c r="E96" s="459"/>
      <c r="F96" s="459"/>
      <c r="G96" s="459"/>
      <c r="H96" s="459"/>
      <c r="I96" s="459"/>
      <c r="J96" s="459"/>
      <c r="K96" s="459"/>
      <c r="L96" s="459"/>
      <c r="M96" s="459"/>
      <c r="N96" s="460"/>
      <c r="O96" s="88">
        <v>0</v>
      </c>
      <c r="P96" s="88"/>
      <c r="Q96" s="88">
        <v>0</v>
      </c>
      <c r="R96" s="88">
        <v>0</v>
      </c>
      <c r="S96" s="88">
        <v>0</v>
      </c>
      <c r="T96" s="89">
        <v>0</v>
      </c>
    </row>
    <row r="97" spans="1:20" ht="11.25" customHeight="1" x14ac:dyDescent="0.2">
      <c r="A97" s="91"/>
      <c r="B97" s="535" t="s">
        <v>101</v>
      </c>
      <c r="C97" s="536"/>
      <c r="D97" s="536"/>
      <c r="E97" s="536"/>
      <c r="F97" s="536"/>
      <c r="G97" s="536"/>
      <c r="H97" s="536"/>
      <c r="I97" s="536"/>
      <c r="J97" s="536"/>
      <c r="K97" s="536"/>
      <c r="L97" s="536"/>
      <c r="M97" s="536"/>
      <c r="N97" s="537"/>
      <c r="O97" s="538">
        <f>O95</f>
        <v>2</v>
      </c>
      <c r="P97" s="536"/>
      <c r="Q97" s="536"/>
      <c r="R97" s="536"/>
      <c r="S97" s="536"/>
      <c r="T97" s="539"/>
    </row>
    <row r="98" spans="1:20" ht="11.25" customHeight="1" x14ac:dyDescent="0.2"/>
    <row r="99" spans="1:20" ht="11.25" customHeight="1" x14ac:dyDescent="0.2"/>
    <row r="100" spans="1:20" ht="11.25" customHeight="1" x14ac:dyDescent="0.25">
      <c r="A100" s="51"/>
      <c r="B100" s="112">
        <v>0.3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20" ht="11.25" customHeight="1" x14ac:dyDescent="0.25">
      <c r="A101" s="52" t="s">
        <v>115</v>
      </c>
      <c r="B101" s="112">
        <v>1.28</v>
      </c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</row>
    <row r="102" spans="1:20" ht="11.25" customHeight="1" x14ac:dyDescent="0.25">
      <c r="A102" s="51"/>
      <c r="B102" s="112">
        <v>0.12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</row>
    <row r="103" spans="1:20" ht="11.25" customHeight="1" x14ac:dyDescent="0.25">
      <c r="A103" s="51"/>
      <c r="B103" s="112">
        <v>0.3</v>
      </c>
      <c r="C103" s="51"/>
      <c r="D103" s="51"/>
      <c r="E103" s="51"/>
      <c r="F103" s="51"/>
      <c r="G103" s="51"/>
      <c r="H103" s="51"/>
      <c r="I103" s="51"/>
      <c r="J103" s="51"/>
      <c r="K103" s="112">
        <v>2</v>
      </c>
      <c r="L103" s="51"/>
      <c r="M103" s="51"/>
    </row>
    <row r="104" spans="1:20" ht="11.25" customHeight="1" x14ac:dyDescent="0.25">
      <c r="A104" s="51"/>
      <c r="B104" s="113">
        <v>0.3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</row>
    <row r="105" spans="1:20" ht="11.25" customHeight="1" x14ac:dyDescent="0.25">
      <c r="A105" s="51"/>
      <c r="B105" s="113">
        <v>0.34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</row>
    <row r="106" spans="1:20" ht="11.25" customHeight="1" x14ac:dyDescent="0.25">
      <c r="A106" s="51"/>
      <c r="B106" s="113">
        <v>0.31</v>
      </c>
      <c r="C106" s="51"/>
      <c r="D106" s="51"/>
      <c r="E106" s="51"/>
      <c r="F106" s="51"/>
      <c r="G106" s="51"/>
      <c r="H106" s="51"/>
      <c r="I106" s="51"/>
      <c r="J106" s="51"/>
      <c r="K106" s="113">
        <v>2.95</v>
      </c>
      <c r="L106" s="51"/>
      <c r="M106" s="51"/>
    </row>
    <row r="107" spans="1:20" ht="11.25" customHeight="1" x14ac:dyDescent="0.25">
      <c r="A107" s="51"/>
      <c r="B107" s="114">
        <v>0.95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</row>
    <row r="108" spans="1:20" ht="11.25" customHeight="1" x14ac:dyDescent="0.2"/>
    <row r="109" spans="1:20" ht="11.25" customHeight="1" x14ac:dyDescent="0.2"/>
    <row r="110" spans="1:20" ht="11.25" customHeight="1" x14ac:dyDescent="0.2"/>
    <row r="111" spans="1:20" ht="11.25" customHeight="1" x14ac:dyDescent="0.2"/>
    <row r="112" spans="1:20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</sheetData>
  <mergeCells count="80">
    <mergeCell ref="B95:N95"/>
    <mergeCell ref="B96:N96"/>
    <mergeCell ref="B97:N97"/>
    <mergeCell ref="O97:T97"/>
    <mergeCell ref="F45:G45"/>
    <mergeCell ref="F46:G46"/>
    <mergeCell ref="B47:N47"/>
    <mergeCell ref="B93:N93"/>
    <mergeCell ref="B94:N94"/>
    <mergeCell ref="B78:N78"/>
    <mergeCell ref="B79:N79"/>
    <mergeCell ref="O79:T79"/>
    <mergeCell ref="F82:G82"/>
    <mergeCell ref="F91:G91"/>
    <mergeCell ref="B84:N84"/>
    <mergeCell ref="B85:N85"/>
    <mergeCell ref="B39:N39"/>
    <mergeCell ref="B40:N40"/>
    <mergeCell ref="B41:N41"/>
    <mergeCell ref="B42:N42"/>
    <mergeCell ref="O42:T42"/>
    <mergeCell ref="F29:G29"/>
    <mergeCell ref="F31:G31"/>
    <mergeCell ref="F33:G33"/>
    <mergeCell ref="F35:G35"/>
    <mergeCell ref="B38:N38"/>
    <mergeCell ref="B24:N24"/>
    <mergeCell ref="B25:N25"/>
    <mergeCell ref="B26:N26"/>
    <mergeCell ref="O26:T26"/>
    <mergeCell ref="F19:G19"/>
    <mergeCell ref="B14:N14"/>
    <mergeCell ref="O14:T14"/>
    <mergeCell ref="F17:G17"/>
    <mergeCell ref="B22:N22"/>
    <mergeCell ref="B23:N23"/>
    <mergeCell ref="F8:G8"/>
    <mergeCell ref="B10:N10"/>
    <mergeCell ref="B11:N11"/>
    <mergeCell ref="B12:N12"/>
    <mergeCell ref="B13:N13"/>
    <mergeCell ref="N4:N5"/>
    <mergeCell ref="O4:T4"/>
    <mergeCell ref="A1:T1"/>
    <mergeCell ref="A4:A5"/>
    <mergeCell ref="B4:B5"/>
    <mergeCell ref="C4:J5"/>
    <mergeCell ref="K4:K5"/>
    <mergeCell ref="L4:L5"/>
    <mergeCell ref="M4:M5"/>
    <mergeCell ref="B86:N86"/>
    <mergeCell ref="B87:N87"/>
    <mergeCell ref="B88:N88"/>
    <mergeCell ref="O88:T88"/>
    <mergeCell ref="O70:T70"/>
    <mergeCell ref="F73:G73"/>
    <mergeCell ref="B75:N75"/>
    <mergeCell ref="B76:N76"/>
    <mergeCell ref="B77:N77"/>
    <mergeCell ref="F74:G74"/>
    <mergeCell ref="B66:N66"/>
    <mergeCell ref="B67:N67"/>
    <mergeCell ref="B68:N68"/>
    <mergeCell ref="B69:N69"/>
    <mergeCell ref="B70:N70"/>
    <mergeCell ref="B59:N59"/>
    <mergeCell ref="B60:N60"/>
    <mergeCell ref="O60:T60"/>
    <mergeCell ref="F63:G63"/>
    <mergeCell ref="F65:G65"/>
    <mergeCell ref="F54:G54"/>
    <mergeCell ref="F55:G55"/>
    <mergeCell ref="B56:N56"/>
    <mergeCell ref="B57:N57"/>
    <mergeCell ref="B58:N58"/>
    <mergeCell ref="B48:N48"/>
    <mergeCell ref="B49:N49"/>
    <mergeCell ref="B50:N50"/>
    <mergeCell ref="B51:N51"/>
    <mergeCell ref="O51:T5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UBS AH</vt:lpstr>
      <vt:lpstr>Metrado de Acero</vt:lpstr>
      <vt:lpstr>UBS TRATAMIENTO</vt:lpstr>
      <vt:lpstr>Metrado Acero</vt:lpstr>
      <vt:lpstr>Acero</vt:lpstr>
      <vt:lpstr>'UBS AH'!Área_de_impresión</vt:lpstr>
      <vt:lpstr>'UBS TRATAMIENTO'!Área_de_impresión</vt:lpstr>
      <vt:lpstr>'Metrado Acero'!Títulos_a_imprimir</vt:lpstr>
      <vt:lpstr>'UBS AH'!Títulos_a_imprimir</vt:lpstr>
      <vt:lpstr>'UBS TRATAMIENTO'!Títulos_a_imprimir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Galvan</dc:creator>
  <cp:lastModifiedBy>WINDOWS</cp:lastModifiedBy>
  <cp:lastPrinted>2026-04-28T01:00:36Z</cp:lastPrinted>
  <dcterms:created xsi:type="dcterms:W3CDTF">2014-10-08T10:46:05Z</dcterms:created>
  <dcterms:modified xsi:type="dcterms:W3CDTF">2026-04-28T01:00:39Z</dcterms:modified>
</cp:coreProperties>
</file>